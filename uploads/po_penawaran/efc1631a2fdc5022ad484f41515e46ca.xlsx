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RNA\Erna\Proposal Erna\2025\008 - AGUSTUS\126 - Well Harvest Winning Alumina Refinery\"/>
    </mc:Choice>
  </mc:AlternateContent>
  <xr:revisionPtr revIDLastSave="0" documentId="13_ncr:1_{7E0223A6-1969-4A67-9FFB-6B6AEDA030C8}" xr6:coauthVersionLast="47" xr6:coauthVersionMax="47" xr10:uidLastSave="{00000000-0000-0000-0000-000000000000}"/>
  <bookViews>
    <workbookView xWindow="-110" yWindow="-110" windowWidth="19420" windowHeight="10300" xr2:uid="{3658CDDE-721C-4837-8F02-B92C4B013121}"/>
  </bookViews>
  <sheets>
    <sheet name="Tahapan Konsultasi " sheetId="1" r:id="rId1"/>
  </sheets>
  <definedNames>
    <definedName name="_xlnm.Print_Area" localSheetId="0">'Tahapan Konsultasi '!$A$1:$AL$98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2" i="1" l="1"/>
  <c r="I64" i="1"/>
  <c r="I51" i="1" l="1"/>
  <c r="I19" i="1"/>
  <c r="E118" i="1"/>
  <c r="I15" i="1"/>
  <c r="I42" i="1"/>
  <c r="I13" i="1"/>
  <c r="I17" i="1"/>
  <c r="I31" i="1"/>
  <c r="I21" i="1"/>
  <c r="I26" i="1"/>
  <c r="I24" i="1"/>
  <c r="I53" i="1"/>
  <c r="I29" i="1"/>
  <c r="I33" i="1"/>
  <c r="I35" i="1"/>
  <c r="I37" i="1"/>
  <c r="F39" i="1"/>
  <c r="I44" i="1"/>
  <c r="I40" i="1"/>
  <c r="I46" i="1"/>
  <c r="I48" i="1"/>
  <c r="I55" i="1"/>
  <c r="I57" i="1"/>
  <c r="I59" i="1"/>
  <c r="I66" i="1"/>
  <c r="I68" i="1" s="1"/>
  <c r="I69" i="1"/>
  <c r="I71" i="1" s="1"/>
  <c r="F71" i="1"/>
  <c r="I72" i="1"/>
  <c r="I74" i="1"/>
  <c r="F76" i="1"/>
  <c r="I81" i="1"/>
  <c r="I83" i="1" s="1"/>
  <c r="F83" i="1"/>
  <c r="I86" i="1"/>
  <c r="I90" i="1" s="1"/>
  <c r="F90" i="1"/>
  <c r="I28" i="1" l="1"/>
  <c r="I61" i="1"/>
  <c r="F91" i="1"/>
  <c r="I50" i="1"/>
  <c r="I76" i="1"/>
  <c r="I39" i="1"/>
  <c r="I12" i="1"/>
  <c r="I23" i="1"/>
</calcChain>
</file>

<file path=xl/sharedStrings.xml><?xml version="1.0" encoding="utf-8"?>
<sst xmlns="http://schemas.openxmlformats.org/spreadsheetml/2006/main" count="243" uniqueCount="96">
  <si>
    <t>PIC</t>
  </si>
  <si>
    <t>Konsultasi Proses:
- Ketidaksesuaian dan Tindakan Perbaikan
- Peningkatan Berkelanjutan
- Kepuasan Pelanggan</t>
  </si>
  <si>
    <t xml:space="preserve">Konsultasi Proses
- Penagihan
- Penanganan Keluhan Pelanggan
- Pengendalian Barang MiliK Pelanggan </t>
  </si>
  <si>
    <t>Konsultasi Proses:
- Penerimaan Karyawan
- Pelatihan
- Pengendalian Informasi Terdokumentasi</t>
  </si>
  <si>
    <t>Short Training Management Pengendalian B3 dan Limbah
Konsultasi Proses Pengelolaan B3 dan Limbah</t>
  </si>
  <si>
    <t>Konsultasi Proses:
- Pengendalian APD
- Pengendalian LOTO
- Pengendalian Risiko Tinggi 
- Pengendalian Manual Handling</t>
  </si>
  <si>
    <t>Konsultasi Proses:
- Konsultasi dan Partisipasi
- Komunikasi Internal dan Eksternal
- Kesiapsiagaan dan tanggap darurat
- Laporan Kecelakaan dan Investigasi Insiden</t>
  </si>
  <si>
    <t>Konsultasi Corrective Action  Hasil Audit Konsultan</t>
  </si>
  <si>
    <t>Badan Sertifikasi</t>
  </si>
  <si>
    <t xml:space="preserve">Persiapan Audit  oleh internal client </t>
  </si>
  <si>
    <t>TOTAL MANDAYS</t>
  </si>
  <si>
    <t>All Departmen (Level Asisten Manager Up) - Sesuai schedule Gap</t>
  </si>
  <si>
    <t>All Departmen (Level Supervisor Up)</t>
  </si>
  <si>
    <t>All Departmen (Level Supervisor Up) - Sesuai Schedule / bergilir</t>
  </si>
  <si>
    <t>Management Representatif, HSE, Quality</t>
  </si>
  <si>
    <t>HSE</t>
  </si>
  <si>
    <t>Engineering, Sales, PPIC</t>
  </si>
  <si>
    <t>Engineering, HSE, Purchasing, Warehouse</t>
  </si>
  <si>
    <t>Produksi, Warehouse, Quality</t>
  </si>
  <si>
    <t>HRGA, Document control</t>
  </si>
  <si>
    <t>Quality, Maintancne, Finance</t>
  </si>
  <si>
    <t>Perwakilan departemen Level SPV Produksi, HSE, Warehouse, Maintanance, Engineering, Quality, HRGA</t>
  </si>
  <si>
    <t>All Dept</t>
  </si>
  <si>
    <t>PERUSAHAAN</t>
  </si>
  <si>
    <t>LOKASI</t>
  </si>
  <si>
    <t>NO. PROPOSAL</t>
  </si>
  <si>
    <t xml:space="preserve">AKTIVITAS </t>
  </si>
  <si>
    <t xml:space="preserve">MANDAYS </t>
  </si>
  <si>
    <t xml:space="preserve">PESERTA </t>
  </si>
  <si>
    <t xml:space="preserve">INVESTASI </t>
  </si>
  <si>
    <t>Training Business Process Mapping (BPM)</t>
  </si>
  <si>
    <t xml:space="preserve">Sentral Sistem </t>
  </si>
  <si>
    <t xml:space="preserve">PLAN VS
ACTUAL </t>
  </si>
  <si>
    <t>Plan</t>
  </si>
  <si>
    <t>Actual</t>
  </si>
  <si>
    <t>Sales, Finance, Warehouse</t>
  </si>
  <si>
    <t xml:space="preserve">Internal audit Consultant dan Client </t>
  </si>
  <si>
    <t xml:space="preserve">Client </t>
  </si>
  <si>
    <t xml:space="preserve">Review corrective actions temuan Audit Stage 1 </t>
  </si>
  <si>
    <t xml:space="preserve">Audit Stage 2 - Badan Sertifikasi </t>
  </si>
  <si>
    <t>Review corrective actions temuan Audit Stage 2</t>
  </si>
  <si>
    <t xml:space="preserve">Audit Stage 1 - Badan Sertifikasi </t>
  </si>
  <si>
    <t>Training Awareness Persyaratan SMK3 PP 50/2012</t>
  </si>
  <si>
    <t>Konsultasi 1 
Penyusunan IADL &amp; IBPR/HIRADC dengan pertimbangan Life Cycle Perspective</t>
  </si>
  <si>
    <t>Konsultasi 2
Penyusunan IADL &amp; IBPR/HIRADC dengan pertimbangan Life Cycle Perspective</t>
  </si>
  <si>
    <t xml:space="preserve">Review Implementasi hasil Perbaikan dokumen dan Lapangan dan Sosialisasi </t>
  </si>
  <si>
    <t>INVESTASI PENAWARAN SETELAH DISCOUNT (TERMASUK AKOMODASI TRANSPORTASI LUAR KOTA)</t>
  </si>
  <si>
    <t>JAN</t>
  </si>
  <si>
    <t>DES</t>
  </si>
  <si>
    <t xml:space="preserve">BOD </t>
  </si>
  <si>
    <t xml:space="preserve">TOTAL INVESTASI </t>
  </si>
  <si>
    <t>Syncronizing Gap Analisys Report Integrasi ISO 9001, 45001, 14001</t>
  </si>
  <si>
    <t>FEB</t>
  </si>
  <si>
    <r>
      <t xml:space="preserve">Penutupan Project - </t>
    </r>
    <r>
      <rPr>
        <b/>
        <sz val="15"/>
        <rFont val="Arial"/>
        <family val="2"/>
      </rPr>
      <t>FREE</t>
    </r>
  </si>
  <si>
    <t xml:space="preserve"> </t>
  </si>
  <si>
    <t>: PT Well Harvest Winning Alumina Refinery</t>
  </si>
  <si>
    <r>
      <t xml:space="preserve">: </t>
    </r>
    <r>
      <rPr>
        <b/>
        <sz val="18"/>
        <color theme="1"/>
        <rFont val="Calibri"/>
        <family val="2"/>
        <scheme val="minor"/>
      </rPr>
      <t>Jl. Mekar Utama, Kec. Kendawangan, Kabupaten Ketapang, Kalimantan Barat 78862</t>
    </r>
  </si>
  <si>
    <t>Training Awarness ISO 9001, 14001 &amp; 45001</t>
  </si>
  <si>
    <t>Training &amp; Workshop :
Identifikasi Aspek Dampak Lingkungan (IADL) &amp; Identifikasi Bahaya dan Pengendalian Risiko (HIRADC)</t>
  </si>
  <si>
    <t>Konsultasi:
 - Konteks Organisasi 
- Isu Internal dan Isu Eksternal
- Kebutuhan Harapan Pihak Berkepentingan
- Ruang Lingkup BMK3L 
- Interaksi Proses BMK3L / Bussiness Process Mapping (BPM)</t>
  </si>
  <si>
    <t>Kunjungan 2 (1 Konsultan)</t>
  </si>
  <si>
    <t>Kunjungan 3 ( 1 Konsultan )</t>
  </si>
  <si>
    <t>Kunjungan 5 ( 1 Konsultan )</t>
  </si>
  <si>
    <t>Kunjungan 4 ( 1 Konsultan )</t>
  </si>
  <si>
    <t>Kunjungan 6 ( 1 Konsultan )</t>
  </si>
  <si>
    <t xml:space="preserve">Belum termasuk PPN 11%, makan siang konsultan dan auditor, biaya initial audit Badan Sertifikasi,  Training terkait Keahlian K3 termasuk Auditor SMK3 Kemnaker Lingkungan, Energi, Alat untuk Pengukuran Jumlah Energi yang Digunakan </t>
  </si>
  <si>
    <t>DISKON</t>
  </si>
  <si>
    <t xml:space="preserve">Kick Off &amp; Overview Integrasi Sistem Manajemen untuk BOD </t>
  </si>
  <si>
    <t>Kunjungan 1 (2 Konsultan)</t>
  </si>
  <si>
    <t>Konsultasi Identifikasi Peraturan Perundangan dan Persyaratan Lain K3 dan Lingkungan dari Aspek Legal</t>
  </si>
  <si>
    <t xml:space="preserve">Support untuk  Management Review Bisnis - Mutu - Keselamatan dan Kesehatan Kerja - Lingkungan </t>
  </si>
  <si>
    <t>Kunjungan 7 (2 konsultan)</t>
  </si>
  <si>
    <t>Kunjungan 9 ( 2 Konsultan )</t>
  </si>
  <si>
    <t>Kunjungan 10 ( 2 Konsultan )</t>
  </si>
  <si>
    <t>Kunjungan 11 ( 2 Konsultan )</t>
  </si>
  <si>
    <t>QH</t>
  </si>
  <si>
    <t>Q</t>
  </si>
  <si>
    <t>H</t>
  </si>
  <si>
    <t>Training Internal Audit Integrasi 9001,14001 &amp; 45001</t>
  </si>
  <si>
    <t xml:space="preserve">TAHAPAN BIMBINGAN KONSULTASI INTEGRASI 
IMPLEMENTASI SISTEM MANAJEMEN BMK3L (BISNIS, MUTU, KESELAMATAN DAN KESEHATAN KERJA, LINGKUNGAN)
BERDASARKAN ISO 9001:2015, ISO 45001:2018, ISO 14001:2015
</t>
  </si>
  <si>
    <t>Konsultasi :
- Penetapan Kebijakan, Sasaran dan Target Mutu, K3 dan Lingkungan</t>
  </si>
  <si>
    <t>Konsultasi : 
- Bisnis Proses dan Risiko Peluang Proses (SIPOCORR)</t>
  </si>
  <si>
    <t>Konsultasi Proses :
- Perencanaan Bisnis
- Tinjauan Manajemen
- Internal Audit</t>
  </si>
  <si>
    <t>Konsultasi Proses :
- Perencanaan Produk Baru
- Tinjauan Kontrak /Penjualan
- Perencanaan Produksi</t>
  </si>
  <si>
    <t xml:space="preserve">Konsultasi Proses:
- Pengendalian Alat Ukur &amp; Uji
- Pemeliharaan dan Perbaikan Infrastruktur
</t>
  </si>
  <si>
    <t>Review Pemenuhan Peraturan Perundangan dan Persyaratan Lain K3 dan Lingkungan dari Aspek Legal</t>
  </si>
  <si>
    <t>Review  IADL &amp; IBPR/HIRADC dengan pertimbangan Life Cycle Perspective</t>
  </si>
  <si>
    <t>Konsultasi Proses
- Perubahan Produk / Proses
-  Manajemen Perubahan (MK3L)
- Pengadaan Barang/material &amp; Jasa
- Penyimpanan Material  &amp; WIP Produk</t>
  </si>
  <si>
    <t>Konsultasi Proses
- Produksi
- Penyimpanan Produk Finish Good
- Pengendalian Produk Tidak Sesuai</t>
  </si>
  <si>
    <t>Kunjungan 8 (3 konsultan)</t>
  </si>
  <si>
    <t>: 126/STM/ES/VIII/25</t>
  </si>
  <si>
    <t xml:space="preserve">AKOMODASI - TRANSPORTASI KONSULTAN 
DINAS LUAR KOTA &amp; TRANSLATOR </t>
  </si>
  <si>
    <t>N0V</t>
  </si>
  <si>
    <t>MAR</t>
  </si>
  <si>
    <t>APR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</si>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</sst>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0.0"/>
    <numFmt numFmtId="165" formatCode="_-[$Rp-421]* #,##0_-;\-[$Rp-421]* #,##0_-;_-[$Rp-421]* &quot;-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</font>
    <font>
      <b/>
      <sz val="22"/>
      <name val="Calibri"/>
      <family val="2"/>
    </font>
    <font>
      <sz val="22"/>
      <color theme="1"/>
      <name val="Calibri"/>
      <family val="2"/>
      <scheme val="minor"/>
    </font>
    <font>
      <sz val="18"/>
      <name val="Calibri"/>
      <family val="2"/>
      <scheme val="minor"/>
    </font>
    <font>
      <sz val="15"/>
      <name val="Calibri"/>
      <family val="2"/>
    </font>
    <font>
      <sz val="15"/>
      <color theme="1"/>
      <name val="Calibri"/>
      <family val="2"/>
      <scheme val="minor"/>
    </font>
    <font>
      <b/>
      <sz val="15"/>
      <name val="Calibri"/>
      <family val="2"/>
    </font>
    <font>
      <b/>
      <sz val="15"/>
      <color theme="1"/>
      <name val="Calibri"/>
      <family val="2"/>
      <scheme val="minor"/>
    </font>
    <font>
      <b/>
      <sz val="15"/>
      <name val="Arial"/>
      <family val="2"/>
    </font>
    <font>
      <b/>
      <sz val="15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1" applyFont="1" applyFill="1" applyBorder="1" applyAlignment="1">
      <alignment horizontal="center" vertical="center"/>
    </xf>
    <xf numFmtId="42" fontId="5" fillId="4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164" fontId="10" fillId="4" borderId="6" xfId="0" applyNumberFormat="1" applyFont="1" applyFill="1" applyBorder="1" applyAlignment="1">
      <alignment horizontal="center" vertical="center" wrapText="1"/>
    </xf>
    <xf numFmtId="42" fontId="11" fillId="4" borderId="6" xfId="0" applyNumberFormat="1" applyFont="1" applyFill="1" applyBorder="1" applyAlignment="1">
      <alignment horizontal="center" vertical="center"/>
    </xf>
    <xf numFmtId="42" fontId="13" fillId="4" borderId="6" xfId="0" applyNumberFormat="1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42" fontId="11" fillId="4" borderId="1" xfId="0" applyNumberFormat="1" applyFont="1" applyFill="1" applyBorder="1" applyAlignment="1">
      <alignment horizontal="center" vertical="center"/>
    </xf>
    <xf numFmtId="42" fontId="13" fillId="4" borderId="1" xfId="0" applyNumberFormat="1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 wrapText="1"/>
    </xf>
    <xf numFmtId="0" fontId="11" fillId="0" borderId="2" xfId="0" applyFont="1" applyBorder="1"/>
    <xf numFmtId="164" fontId="10" fillId="0" borderId="6" xfId="0" applyNumberFormat="1" applyFont="1" applyBorder="1" applyAlignment="1">
      <alignment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/>
    <xf numFmtId="0" fontId="11" fillId="0" borderId="0" xfId="0" applyFont="1"/>
    <xf numFmtId="164" fontId="15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11" fillId="0" borderId="5" xfId="0" applyFont="1" applyBorder="1"/>
    <xf numFmtId="164" fontId="15" fillId="5" borderId="1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42" fontId="1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6" borderId="1" xfId="0" applyFont="1" applyFill="1" applyBorder="1"/>
    <xf numFmtId="164" fontId="12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 wrapText="1"/>
    </xf>
    <xf numFmtId="42" fontId="11" fillId="6" borderId="6" xfId="0" applyNumberFormat="1" applyFont="1" applyFill="1" applyBorder="1" applyAlignment="1">
      <alignment horizontal="center" vertical="center"/>
    </xf>
    <xf numFmtId="42" fontId="13" fillId="6" borderId="6" xfId="0" applyNumberFormat="1" applyFont="1" applyFill="1" applyBorder="1" applyAlignment="1">
      <alignment horizontal="center" vertical="center"/>
    </xf>
    <xf numFmtId="0" fontId="10" fillId="6" borderId="0" xfId="0" applyFont="1" applyFill="1"/>
    <xf numFmtId="165" fontId="15" fillId="6" borderId="1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6" fillId="0" borderId="0" xfId="0" applyFont="1"/>
    <xf numFmtId="0" fontId="16" fillId="2" borderId="1" xfId="1" applyFont="1" applyFill="1" applyBorder="1" applyAlignment="1">
      <alignment horizontal="center" vertical="center"/>
    </xf>
    <xf numFmtId="0" fontId="16" fillId="0" borderId="1" xfId="0" applyFont="1" applyBorder="1"/>
    <xf numFmtId="0" fontId="15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42" fontId="11" fillId="0" borderId="2" xfId="0" applyNumberFormat="1" applyFont="1" applyBorder="1" applyAlignment="1">
      <alignment horizontal="center" vertical="center"/>
    </xf>
    <xf numFmtId="42" fontId="11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12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wrapText="1"/>
    </xf>
    <xf numFmtId="42" fontId="11" fillId="0" borderId="1" xfId="0" applyNumberFormat="1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10" fillId="0" borderId="2" xfId="0" quotePrefix="1" applyNumberFormat="1" applyFont="1" applyBorder="1" applyAlignment="1">
      <alignment horizontal="center" vertical="center" wrapText="1"/>
    </xf>
    <xf numFmtId="164" fontId="10" fillId="0" borderId="3" xfId="0" quotePrefix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42" fontId="11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3B0C5E7-8C7B-4115-AD5F-B4C857047247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146916</xdr:colOff>
      <xdr:row>0</xdr:row>
      <xdr:rowOff>26582</xdr:rowOff>
    </xdr:from>
    <xdr:ext cx="2507383" cy="921488"/>
    <xdr:pic>
      <xdr:nvPicPr>
        <xdr:cNvPr id="2" name="Picture 1">
          <a:extLst>
            <a:ext uri="{FF2B5EF4-FFF2-40B4-BE49-F238E27FC236}">
              <a16:creationId xmlns:a16="http://schemas.microsoft.com/office/drawing/2014/main" id="{34A59816-73A2-41D2-994C-AA5DA11A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6683" y="26582"/>
          <a:ext cx="2507383" cy="921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60960</xdr:colOff>
      <xdr:row>94</xdr:row>
      <xdr:rowOff>437870</xdr:rowOff>
    </xdr:from>
    <xdr:to>
      <xdr:col>9</xdr:col>
      <xdr:colOff>60960</xdr:colOff>
      <xdr:row>98</xdr:row>
      <xdr:rowOff>188826</xdr:rowOff>
    </xdr:to>
    <xdr:sp macro="" textlink="">
      <xdr:nvSpPr>
        <xdr:cNvPr id="4" name="TextBox 66">
          <a:extLst>
            <a:ext uri="{FF2B5EF4-FFF2-40B4-BE49-F238E27FC236}">
              <a16:creationId xmlns:a16="http://schemas.microsoft.com/office/drawing/2014/main" id="{82948E92-70E6-4716-AF38-AFEFC8E23693}"/>
            </a:ext>
          </a:extLst>
        </xdr:cNvPr>
        <xdr:cNvSpPr txBox="1"/>
      </xdr:nvSpPr>
      <xdr:spPr>
        <a:xfrm>
          <a:off x="60960" y="70374230"/>
          <a:ext cx="13395960" cy="3225676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en-US" sz="1800" b="1" u="sng">
            <a:latin typeface="+mn-lt"/>
          </a:endParaRPr>
        </a:p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800" b="1" u="sng">
              <a:latin typeface="+mn-lt"/>
            </a:rPr>
            <a:t>Investasi</a:t>
          </a:r>
          <a:r>
            <a:rPr lang="en-US" sz="1800" b="1" u="sng" baseline="0">
              <a:latin typeface="+mn-lt"/>
            </a:rPr>
            <a:t> </a:t>
          </a:r>
          <a:r>
            <a:rPr lang="en-US" sz="1800" b="1" u="sng">
              <a:latin typeface="+mn-lt"/>
            </a:rPr>
            <a:t> </a:t>
          </a:r>
          <a:r>
            <a:rPr lang="id-ID" sz="1800" b="1" u="sng">
              <a:latin typeface="+mn-lt"/>
            </a:rPr>
            <a:t>Sudah Termasuk :</a:t>
          </a:r>
          <a:r>
            <a:rPr lang="en-US" sz="1800" b="1" u="sng">
              <a:latin typeface="+mn-lt"/>
            </a:rPr>
            <a:t> </a:t>
          </a:r>
          <a:r>
            <a:rPr lang="en-US" sz="1800" b="1">
              <a:latin typeface="+mn-lt"/>
            </a:rPr>
            <a:t>		</a:t>
          </a:r>
          <a:endParaRPr lang="en-US" sz="1800" b="1">
            <a:latin typeface="+mn-lt"/>
            <a:cs typeface="+mn-cs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itchFamily="34" charset="0"/>
            <a:buChar char="•"/>
            <a:defRPr/>
          </a:pPr>
          <a:r>
            <a:rPr lang="en-US" sz="1800">
              <a:latin typeface="+mn-lt"/>
            </a:rPr>
            <a:t>Spanduk dan Standing Banner untuk sosialisasi saat Kick Off, masing-masing 1 unit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itchFamily="34" charset="0"/>
            <a:buChar char="•"/>
            <a:defRPr/>
          </a:pPr>
          <a:r>
            <a:rPr lang="en-US" sz="1800">
              <a:latin typeface="+mn-lt"/>
            </a:rPr>
            <a:t> Materi Training dan E-Certificate untuk maksimal 25 peserta ,</a:t>
          </a:r>
          <a:r>
            <a:rPr lang="en-US" sz="1800" baseline="0">
              <a:latin typeface="+mn-lt"/>
            </a:rPr>
            <a:t> Didownload ke </a:t>
          </a:r>
          <a:r>
            <a:rPr lang="en-US" sz="1800">
              <a:latin typeface="+mn-lt"/>
              <a:hlinkClick xmlns:r="http://schemas.openxmlformats.org/officeDocument/2006/relationships" r:id=""/>
            </a:rPr>
            <a:t>Client Area - Sentral Sistem</a:t>
          </a:r>
          <a:endParaRPr lang="en-US" sz="1800">
            <a:latin typeface="+mn-lt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itchFamily="34" charset="0"/>
            <a:buChar char="•"/>
            <a:defRPr/>
          </a:pPr>
          <a:r>
            <a:rPr lang="en-US" sz="1800">
              <a:latin typeface="+mn-lt"/>
            </a:rPr>
            <a:t>Transportasi</a:t>
          </a:r>
          <a:r>
            <a:rPr lang="en-US" sz="1800" baseline="0">
              <a:latin typeface="+mn-lt"/>
            </a:rPr>
            <a:t> Konsultan  bila ke LOKASI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itchFamily="34" charset="0"/>
            <a:buChar char="•"/>
            <a:defRPr/>
          </a:pPr>
          <a:r>
            <a:rPr lang="en-US" sz="1800">
              <a:latin typeface="+mn-lt"/>
            </a:rPr>
            <a:t>Free layanan milist: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800" u="sng">
              <a:latin typeface="+mn-lt"/>
            </a:rPr>
            <a:t>business-improvement@sentral-sistem.com;</a:t>
          </a:r>
          <a:r>
            <a:rPr lang="en-US" sz="18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800" u="sng">
              <a:latin typeface="+mn-lt"/>
            </a:rPr>
            <a:t>quality-technique@sentral-sistem.com;</a:t>
          </a:r>
          <a:r>
            <a:rPr lang="en-US" sz="18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800" u="sng">
              <a:latin typeface="+mn-lt"/>
            </a:rPr>
            <a:t>hse-community@sentral-sistem.com </a:t>
          </a:r>
          <a:endParaRPr lang="en-US" sz="18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D1B6-9044-4452-8210-7A6D4D1B293F}">
  <dimension ref="A1:AW218"/>
  <sheetViews>
    <sheetView showGridLines="0" tabSelected="1" view="pageBreakPreview" topLeftCell="A94" zoomScale="60" zoomScaleNormal="50" zoomScalePageLayoutView="40" workbookViewId="0">
      <selection activeCell="AX6" sqref="AX6"/>
    </sheetView>
  </sheetViews>
  <sheetFormatPr defaultRowHeight="26" x14ac:dyDescent="0.6"/>
  <cols>
    <col min="2" max="2" width="17.1796875" customWidth="1"/>
    <col min="3" max="3" width="51" customWidth="1"/>
    <col min="4" max="4" width="18.453125" customWidth="1"/>
    <col min="5" max="5" width="15" customWidth="1"/>
    <col min="6" max="6" width="16.1796875" customWidth="1"/>
    <col min="7" max="7" width="34.1796875" style="4" customWidth="1"/>
    <col min="8" max="9" width="26.1796875" style="4" customWidth="1"/>
    <col min="10" max="10" width="16.1796875" style="3" customWidth="1"/>
    <col min="11" max="11" width="5.1796875" style="54" customWidth="1"/>
    <col min="12" max="38" width="4.81640625" customWidth="1"/>
    <col min="39" max="43" width="9.1796875" hidden="1" customWidth="1"/>
    <col min="44" max="44" width="3.453125" hidden="1" customWidth="1"/>
    <col min="45" max="49" width="9.1796875" hidden="1" customWidth="1"/>
  </cols>
  <sheetData>
    <row r="1" spans="1:49" ht="113.25" customHeight="1" x14ac:dyDescent="0.65">
      <c r="A1" s="95" t="s">
        <v>79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</row>
    <row r="2" spans="1:49" ht="21.65" customHeight="1" x14ac:dyDescent="0.6">
      <c r="J2"/>
    </row>
    <row r="3" spans="1:49" x14ac:dyDescent="0.6">
      <c r="A3" s="7" t="s">
        <v>23</v>
      </c>
      <c r="B3" s="8"/>
      <c r="C3" s="10" t="s">
        <v>55</v>
      </c>
      <c r="D3" s="10"/>
      <c r="J3"/>
    </row>
    <row r="4" spans="1:49" x14ac:dyDescent="0.6">
      <c r="A4" s="9" t="s">
        <v>24</v>
      </c>
      <c r="B4" s="8"/>
      <c r="C4" s="8" t="s">
        <v>56</v>
      </c>
      <c r="D4" s="8"/>
      <c r="J4"/>
    </row>
    <row r="5" spans="1:49" s="1" customFormat="1" ht="26" customHeight="1" x14ac:dyDescent="0.6">
      <c r="A5" s="9" t="s">
        <v>25</v>
      </c>
      <c r="B5" s="5"/>
      <c r="C5" s="13" t="s">
        <v>90</v>
      </c>
      <c r="D5" s="13"/>
      <c r="E5"/>
      <c r="F5"/>
      <c r="G5"/>
      <c r="H5"/>
      <c r="I5"/>
      <c r="J5" s="6"/>
      <c r="K5" s="54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ht="23.5" x14ac:dyDescent="0.35">
      <c r="A6" s="77" t="s">
        <v>54</v>
      </c>
      <c r="B6" s="78" t="s">
        <v>26</v>
      </c>
      <c r="C6" s="78"/>
      <c r="D6" s="53"/>
      <c r="E6" s="77" t="s">
        <v>0</v>
      </c>
      <c r="F6" s="76" t="s">
        <v>27</v>
      </c>
      <c r="G6" s="76" t="s">
        <v>28</v>
      </c>
      <c r="H6" s="76" t="s">
        <v>29</v>
      </c>
      <c r="I6" s="76" t="s">
        <v>50</v>
      </c>
      <c r="J6" s="76" t="s">
        <v>32</v>
      </c>
      <c r="K6" s="75" t="s">
        <v>92</v>
      </c>
      <c r="L6" s="75"/>
      <c r="M6" s="75"/>
      <c r="N6" s="75"/>
      <c r="O6" s="75" t="s">
        <v>48</v>
      </c>
      <c r="P6" s="75"/>
      <c r="Q6" s="75"/>
      <c r="R6" s="75"/>
      <c r="S6" s="75" t="s">
        <v>47</v>
      </c>
      <c r="T6" s="75"/>
      <c r="U6" s="75"/>
      <c r="V6" s="75"/>
      <c r="W6" s="75" t="s">
        <v>52</v>
      </c>
      <c r="X6" s="75"/>
      <c r="Y6" s="75"/>
      <c r="Z6" s="75"/>
      <c r="AA6" s="75" t="s">
        <v>93</v>
      </c>
      <c r="AB6" s="75"/>
      <c r="AC6" s="75"/>
      <c r="AD6" s="75"/>
      <c r="AE6" s="75" t="s">
        <v>94</v>
      </c>
      <c r="AF6" s="75"/>
      <c r="AG6" s="75"/>
      <c r="AH6" s="75"/>
      <c r="AI6" s="75" t="s">
        <v>95</v>
      </c>
      <c r="AJ6" s="75"/>
      <c r="AK6" s="75"/>
      <c r="AL6" s="75"/>
    </row>
    <row r="7" spans="1:49" ht="25.5" customHeight="1" x14ac:dyDescent="0.35">
      <c r="A7" s="84"/>
      <c r="B7" s="78"/>
      <c r="C7" s="78"/>
      <c r="D7" s="53"/>
      <c r="E7" s="77"/>
      <c r="F7" s="85"/>
      <c r="G7" s="76"/>
      <c r="H7" s="76"/>
      <c r="I7" s="85"/>
      <c r="J7" s="85"/>
      <c r="K7" s="55">
        <v>1</v>
      </c>
      <c r="L7" s="11">
        <v>2</v>
      </c>
      <c r="M7" s="11">
        <v>3</v>
      </c>
      <c r="N7" s="11">
        <v>4</v>
      </c>
      <c r="O7" s="11">
        <v>1</v>
      </c>
      <c r="P7" s="11">
        <v>2</v>
      </c>
      <c r="Q7" s="11">
        <v>3</v>
      </c>
      <c r="R7" s="11">
        <v>4</v>
      </c>
      <c r="S7" s="11">
        <v>1</v>
      </c>
      <c r="T7" s="11">
        <v>2</v>
      </c>
      <c r="U7" s="11">
        <v>3</v>
      </c>
      <c r="V7" s="11">
        <v>4</v>
      </c>
      <c r="W7" s="11">
        <v>1</v>
      </c>
      <c r="X7" s="11">
        <v>2</v>
      </c>
      <c r="Y7" s="11">
        <v>3</v>
      </c>
      <c r="Z7" s="11">
        <v>4</v>
      </c>
      <c r="AA7" s="11">
        <v>1</v>
      </c>
      <c r="AB7" s="11">
        <v>2</v>
      </c>
      <c r="AC7" s="11">
        <v>3</v>
      </c>
      <c r="AD7" s="11">
        <v>4</v>
      </c>
      <c r="AE7" s="11">
        <v>1</v>
      </c>
      <c r="AF7" s="11">
        <v>2</v>
      </c>
      <c r="AG7" s="11">
        <v>3</v>
      </c>
      <c r="AH7" s="11">
        <v>4</v>
      </c>
      <c r="AI7" s="11">
        <v>1</v>
      </c>
      <c r="AJ7" s="11">
        <v>2</v>
      </c>
      <c r="AK7" s="11">
        <v>3</v>
      </c>
      <c r="AL7" s="11">
        <v>4</v>
      </c>
    </row>
    <row r="8" spans="1:49" ht="40" customHeight="1" x14ac:dyDescent="0.6">
      <c r="A8" s="62">
        <v>1</v>
      </c>
      <c r="B8" s="64" t="s">
        <v>67</v>
      </c>
      <c r="C8" s="65"/>
      <c r="D8" s="49"/>
      <c r="E8" s="62" t="s">
        <v>31</v>
      </c>
      <c r="F8" s="68">
        <v>7</v>
      </c>
      <c r="G8" s="62" t="s">
        <v>49</v>
      </c>
      <c r="H8" s="60">
        <v>3000000</v>
      </c>
      <c r="I8" s="60">
        <v>21000000</v>
      </c>
      <c r="J8" s="17" t="s">
        <v>33</v>
      </c>
      <c r="K8" s="5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40" customHeight="1" x14ac:dyDescent="0.6">
      <c r="A9" s="62"/>
      <c r="B9" s="66"/>
      <c r="C9" s="67"/>
      <c r="D9" s="50" t="s">
        <v>75</v>
      </c>
      <c r="E9" s="90"/>
      <c r="F9" s="89"/>
      <c r="G9" s="63"/>
      <c r="H9" s="97"/>
      <c r="I9" s="97"/>
      <c r="J9" s="16" t="s">
        <v>34</v>
      </c>
      <c r="K9" s="5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40" customHeight="1" x14ac:dyDescent="0.6">
      <c r="A10" s="62">
        <v>2</v>
      </c>
      <c r="B10" s="64" t="s">
        <v>51</v>
      </c>
      <c r="C10" s="65"/>
      <c r="D10" s="49"/>
      <c r="E10" s="90"/>
      <c r="F10" s="89"/>
      <c r="G10" s="62" t="s">
        <v>11</v>
      </c>
      <c r="H10" s="97"/>
      <c r="I10" s="97"/>
      <c r="J10" s="17" t="s">
        <v>33</v>
      </c>
      <c r="K10" s="5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49" ht="40" customHeight="1" x14ac:dyDescent="0.6">
      <c r="A11" s="63"/>
      <c r="B11" s="66"/>
      <c r="C11" s="67"/>
      <c r="D11" s="50"/>
      <c r="E11" s="63"/>
      <c r="F11" s="69"/>
      <c r="G11" s="63"/>
      <c r="H11" s="61"/>
      <c r="I11" s="61"/>
      <c r="J11" s="16" t="s">
        <v>34</v>
      </c>
      <c r="K11" s="5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49" ht="30" customHeight="1" x14ac:dyDescent="0.6">
      <c r="A12" s="41"/>
      <c r="B12" s="87" t="s">
        <v>68</v>
      </c>
      <c r="C12" s="88"/>
      <c r="D12" s="52"/>
      <c r="E12" s="41"/>
      <c r="F12" s="42">
        <v>7</v>
      </c>
      <c r="G12" s="43"/>
      <c r="H12" s="44"/>
      <c r="I12" s="45">
        <f>SUM(I8:I11)</f>
        <v>21000000</v>
      </c>
      <c r="J12" s="12"/>
      <c r="K12" s="5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49" ht="40" customHeight="1" x14ac:dyDescent="0.6">
      <c r="A13" s="62">
        <v>3</v>
      </c>
      <c r="B13" s="64" t="s">
        <v>30</v>
      </c>
      <c r="C13" s="65"/>
      <c r="D13" s="49" t="s">
        <v>76</v>
      </c>
      <c r="E13" s="62" t="s">
        <v>31</v>
      </c>
      <c r="F13" s="68">
        <v>1</v>
      </c>
      <c r="G13" s="70" t="s">
        <v>12</v>
      </c>
      <c r="H13" s="60">
        <v>8000000</v>
      </c>
      <c r="I13" s="60">
        <f>F13*H13</f>
        <v>8000000</v>
      </c>
      <c r="J13" s="17" t="s">
        <v>33</v>
      </c>
      <c r="K13" s="5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49" ht="40" customHeight="1" x14ac:dyDescent="0.6">
      <c r="A14" s="63"/>
      <c r="B14" s="66"/>
      <c r="C14" s="67"/>
      <c r="D14" s="50"/>
      <c r="E14" s="63"/>
      <c r="F14" s="68"/>
      <c r="G14" s="71"/>
      <c r="H14" s="86"/>
      <c r="I14" s="61"/>
      <c r="J14" s="16" t="s">
        <v>34</v>
      </c>
      <c r="K14" s="5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49" ht="40" customHeight="1" x14ac:dyDescent="0.6">
      <c r="A15" s="62">
        <v>4</v>
      </c>
      <c r="B15" s="64" t="s">
        <v>57</v>
      </c>
      <c r="C15" s="65"/>
      <c r="D15" s="49" t="s">
        <v>77</v>
      </c>
      <c r="E15" s="62" t="s">
        <v>31</v>
      </c>
      <c r="F15" s="68">
        <v>1</v>
      </c>
      <c r="G15" s="70" t="s">
        <v>12</v>
      </c>
      <c r="H15" s="60">
        <v>8000000</v>
      </c>
      <c r="I15" s="60">
        <f>F15*H15</f>
        <v>8000000</v>
      </c>
      <c r="J15" s="17" t="s">
        <v>33</v>
      </c>
      <c r="K15" s="5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49" ht="40" customHeight="1" x14ac:dyDescent="0.6">
      <c r="A16" s="63"/>
      <c r="B16" s="66"/>
      <c r="C16" s="67"/>
      <c r="D16" s="50"/>
      <c r="E16" s="63"/>
      <c r="F16" s="69"/>
      <c r="G16" s="71"/>
      <c r="H16" s="61"/>
      <c r="I16" s="61"/>
      <c r="J16" s="16" t="s">
        <v>34</v>
      </c>
      <c r="K16" s="5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45" customHeight="1" x14ac:dyDescent="0.6">
      <c r="A17" s="62">
        <v>5</v>
      </c>
      <c r="B17" s="64" t="s">
        <v>58</v>
      </c>
      <c r="C17" s="65"/>
      <c r="D17" s="49" t="s">
        <v>77</v>
      </c>
      <c r="E17" s="62" t="s">
        <v>31</v>
      </c>
      <c r="F17" s="68">
        <v>1</v>
      </c>
      <c r="G17" s="70" t="s">
        <v>12</v>
      </c>
      <c r="H17" s="60">
        <v>8000000</v>
      </c>
      <c r="I17" s="60">
        <f>F17*H17</f>
        <v>8000000</v>
      </c>
      <c r="J17" s="17" t="s">
        <v>33</v>
      </c>
      <c r="K17" s="5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45" customHeight="1" x14ac:dyDescent="0.6">
      <c r="A18" s="63"/>
      <c r="B18" s="66"/>
      <c r="C18" s="67"/>
      <c r="D18" s="50"/>
      <c r="E18" s="63"/>
      <c r="F18" s="68"/>
      <c r="G18" s="71"/>
      <c r="H18" s="60"/>
      <c r="I18" s="60"/>
      <c r="J18" s="16" t="s">
        <v>34</v>
      </c>
      <c r="K18" s="5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2" customHeight="1" x14ac:dyDescent="0.6">
      <c r="A19" s="62">
        <v>6</v>
      </c>
      <c r="B19" s="64" t="s">
        <v>59</v>
      </c>
      <c r="C19" s="65"/>
      <c r="D19" s="49" t="s">
        <v>77</v>
      </c>
      <c r="E19" s="62" t="s">
        <v>31</v>
      </c>
      <c r="F19" s="68">
        <v>1</v>
      </c>
      <c r="G19" s="70" t="s">
        <v>14</v>
      </c>
      <c r="H19" s="60">
        <v>3000000</v>
      </c>
      <c r="I19" s="60">
        <f>F19*H19</f>
        <v>3000000</v>
      </c>
      <c r="J19" s="17" t="s">
        <v>33</v>
      </c>
      <c r="K19" s="5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72" customHeight="1" x14ac:dyDescent="0.6">
      <c r="A20" s="63"/>
      <c r="B20" s="66"/>
      <c r="C20" s="67"/>
      <c r="D20" s="50"/>
      <c r="E20" s="63"/>
      <c r="F20" s="69"/>
      <c r="G20" s="71"/>
      <c r="H20" s="61"/>
      <c r="I20" s="61"/>
      <c r="J20" s="16" t="s">
        <v>34</v>
      </c>
      <c r="K20" s="5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40" customHeight="1" x14ac:dyDescent="0.6">
      <c r="A21" s="62">
        <v>7</v>
      </c>
      <c r="B21" s="64" t="s">
        <v>43</v>
      </c>
      <c r="C21" s="65"/>
      <c r="D21" s="49" t="s">
        <v>77</v>
      </c>
      <c r="E21" s="62" t="s">
        <v>31</v>
      </c>
      <c r="F21" s="68">
        <v>1</v>
      </c>
      <c r="G21" s="70" t="s">
        <v>13</v>
      </c>
      <c r="H21" s="60">
        <v>3000000</v>
      </c>
      <c r="I21" s="60">
        <f>F21*H21</f>
        <v>3000000</v>
      </c>
      <c r="J21" s="17" t="s">
        <v>33</v>
      </c>
      <c r="K21" s="5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40" customHeight="1" x14ac:dyDescent="0.6">
      <c r="A22" s="63"/>
      <c r="B22" s="66"/>
      <c r="C22" s="67"/>
      <c r="D22" s="50"/>
      <c r="E22" s="63"/>
      <c r="F22" s="69"/>
      <c r="G22" s="71"/>
      <c r="H22" s="61"/>
      <c r="I22" s="61"/>
      <c r="J22" s="16" t="s">
        <v>34</v>
      </c>
      <c r="K22" s="5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30" customHeight="1" x14ac:dyDescent="0.6">
      <c r="A23" s="41"/>
      <c r="B23" s="82" t="s">
        <v>60</v>
      </c>
      <c r="C23" s="83"/>
      <c r="D23" s="51"/>
      <c r="E23" s="19"/>
      <c r="F23" s="18">
        <v>5</v>
      </c>
      <c r="G23" s="20"/>
      <c r="H23" s="21"/>
      <c r="I23" s="22">
        <f>SUM(I13:I21)</f>
        <v>30000000</v>
      </c>
      <c r="J23" s="12"/>
      <c r="K23" s="5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40" customHeight="1" x14ac:dyDescent="0.6">
      <c r="A24" s="62">
        <v>8</v>
      </c>
      <c r="B24" s="64" t="s">
        <v>42</v>
      </c>
      <c r="C24" s="65"/>
      <c r="D24" s="49" t="s">
        <v>77</v>
      </c>
      <c r="E24" s="62" t="s">
        <v>31</v>
      </c>
      <c r="F24" s="68">
        <v>1</v>
      </c>
      <c r="G24" s="70" t="s">
        <v>12</v>
      </c>
      <c r="H24" s="60">
        <v>8000000</v>
      </c>
      <c r="I24" s="60">
        <f>F24*H24</f>
        <v>8000000</v>
      </c>
      <c r="J24" s="17" t="s">
        <v>33</v>
      </c>
      <c r="K24" s="5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40" customHeight="1" x14ac:dyDescent="0.6">
      <c r="A25" s="63"/>
      <c r="B25" s="66"/>
      <c r="C25" s="67"/>
      <c r="D25" s="50"/>
      <c r="E25" s="63"/>
      <c r="F25" s="69"/>
      <c r="G25" s="71"/>
      <c r="H25" s="61"/>
      <c r="I25" s="61"/>
      <c r="J25" s="16" t="s">
        <v>34</v>
      </c>
      <c r="K25" s="5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40" customHeight="1" x14ac:dyDescent="0.6">
      <c r="A26" s="62">
        <v>9</v>
      </c>
      <c r="B26" s="64" t="s">
        <v>44</v>
      </c>
      <c r="C26" s="65"/>
      <c r="D26" s="49" t="s">
        <v>77</v>
      </c>
      <c r="E26" s="62" t="s">
        <v>31</v>
      </c>
      <c r="F26" s="68">
        <v>5</v>
      </c>
      <c r="G26" s="70" t="s">
        <v>13</v>
      </c>
      <c r="H26" s="60">
        <v>3000000</v>
      </c>
      <c r="I26" s="60">
        <f>F26*H26</f>
        <v>15000000</v>
      </c>
      <c r="J26" s="17" t="s">
        <v>33</v>
      </c>
      <c r="K26" s="5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40" customHeight="1" x14ac:dyDescent="0.6">
      <c r="A27" s="63"/>
      <c r="B27" s="66"/>
      <c r="C27" s="67"/>
      <c r="D27" s="50"/>
      <c r="E27" s="63"/>
      <c r="F27" s="69"/>
      <c r="G27" s="71"/>
      <c r="H27" s="61"/>
      <c r="I27" s="61"/>
      <c r="J27" s="16" t="s">
        <v>34</v>
      </c>
      <c r="K27" s="5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30" customHeight="1" x14ac:dyDescent="0.6">
      <c r="A28" s="46"/>
      <c r="B28" s="82" t="s">
        <v>61</v>
      </c>
      <c r="C28" s="83"/>
      <c r="D28" s="51"/>
      <c r="E28" s="19"/>
      <c r="F28" s="18">
        <v>6</v>
      </c>
      <c r="G28" s="20"/>
      <c r="H28" s="21"/>
      <c r="I28" s="22">
        <f>SUM(I24:I26)</f>
        <v>23000000</v>
      </c>
      <c r="J28" s="22"/>
      <c r="K28" s="5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40" customHeight="1" x14ac:dyDescent="0.6">
      <c r="A29" s="62">
        <v>10</v>
      </c>
      <c r="B29" s="64" t="s">
        <v>80</v>
      </c>
      <c r="C29" s="65"/>
      <c r="D29" s="49" t="s">
        <v>76</v>
      </c>
      <c r="E29" s="62" t="s">
        <v>31</v>
      </c>
      <c r="F29" s="68">
        <v>1</v>
      </c>
      <c r="G29" s="70" t="s">
        <v>14</v>
      </c>
      <c r="H29" s="60">
        <v>3000000</v>
      </c>
      <c r="I29" s="60">
        <f>F29*H29</f>
        <v>3000000</v>
      </c>
      <c r="J29" s="17" t="s">
        <v>33</v>
      </c>
      <c r="K29" s="5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40" customHeight="1" x14ac:dyDescent="0.6">
      <c r="A30" s="63"/>
      <c r="B30" s="66"/>
      <c r="C30" s="67"/>
      <c r="D30" s="50"/>
      <c r="E30" s="63"/>
      <c r="F30" s="69"/>
      <c r="G30" s="71"/>
      <c r="H30" s="61"/>
      <c r="I30" s="61"/>
      <c r="J30" s="16" t="s">
        <v>34</v>
      </c>
      <c r="K30" s="5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40" customHeight="1" x14ac:dyDescent="0.6">
      <c r="A31" s="62">
        <v>11</v>
      </c>
      <c r="B31" s="64" t="s">
        <v>81</v>
      </c>
      <c r="C31" s="65"/>
      <c r="D31" s="49" t="s">
        <v>76</v>
      </c>
      <c r="E31" s="62" t="s">
        <v>31</v>
      </c>
      <c r="F31" s="68">
        <v>1</v>
      </c>
      <c r="G31" s="70" t="s">
        <v>12</v>
      </c>
      <c r="H31" s="60">
        <v>3000000</v>
      </c>
      <c r="I31" s="60">
        <f>F31*H31</f>
        <v>3000000</v>
      </c>
      <c r="J31" s="17" t="s">
        <v>33</v>
      </c>
      <c r="K31" s="5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40" customHeight="1" x14ac:dyDescent="0.6">
      <c r="A32" s="63"/>
      <c r="B32" s="66"/>
      <c r="C32" s="67"/>
      <c r="D32" s="50"/>
      <c r="E32" s="63"/>
      <c r="F32" s="69"/>
      <c r="G32" s="71"/>
      <c r="H32" s="61"/>
      <c r="I32" s="61"/>
      <c r="J32" s="16" t="s">
        <v>34</v>
      </c>
      <c r="K32" s="5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46.75" customHeight="1" x14ac:dyDescent="0.6">
      <c r="A33" s="62">
        <v>12</v>
      </c>
      <c r="B33" s="64" t="s">
        <v>82</v>
      </c>
      <c r="C33" s="65"/>
      <c r="D33" s="49" t="s">
        <v>76</v>
      </c>
      <c r="E33" s="62" t="s">
        <v>31</v>
      </c>
      <c r="F33" s="68">
        <v>1</v>
      </c>
      <c r="G33" s="70" t="s">
        <v>14</v>
      </c>
      <c r="H33" s="60">
        <v>3000000</v>
      </c>
      <c r="I33" s="60">
        <f>F33*H33</f>
        <v>3000000</v>
      </c>
      <c r="J33" s="17" t="s">
        <v>33</v>
      </c>
      <c r="K33" s="5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46.75" customHeight="1" x14ac:dyDescent="0.6">
      <c r="A34" s="63"/>
      <c r="B34" s="66"/>
      <c r="C34" s="67"/>
      <c r="D34" s="50"/>
      <c r="E34" s="63"/>
      <c r="F34" s="69"/>
      <c r="G34" s="71"/>
      <c r="H34" s="61"/>
      <c r="I34" s="61"/>
      <c r="J34" s="16" t="s">
        <v>34</v>
      </c>
      <c r="K34" s="5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51" customHeight="1" x14ac:dyDescent="0.6">
      <c r="A35" s="62">
        <v>13</v>
      </c>
      <c r="B35" s="64" t="s">
        <v>1</v>
      </c>
      <c r="C35" s="65"/>
      <c r="D35" s="49" t="s">
        <v>76</v>
      </c>
      <c r="E35" s="62" t="s">
        <v>31</v>
      </c>
      <c r="F35" s="68">
        <v>1</v>
      </c>
      <c r="G35" s="70" t="s">
        <v>14</v>
      </c>
      <c r="H35" s="60">
        <v>3000000</v>
      </c>
      <c r="I35" s="60">
        <f>F35*H35</f>
        <v>3000000</v>
      </c>
      <c r="J35" s="17" t="s">
        <v>33</v>
      </c>
      <c r="K35" s="5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51" customHeight="1" x14ac:dyDescent="0.6">
      <c r="A36" s="63"/>
      <c r="B36" s="66"/>
      <c r="C36" s="67"/>
      <c r="D36" s="50"/>
      <c r="E36" s="63"/>
      <c r="F36" s="69"/>
      <c r="G36" s="71"/>
      <c r="H36" s="61"/>
      <c r="I36" s="61"/>
      <c r="J36" s="16" t="s">
        <v>34</v>
      </c>
      <c r="K36" s="5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49.75" customHeight="1" x14ac:dyDescent="0.6">
      <c r="A37" s="62">
        <v>14</v>
      </c>
      <c r="B37" s="64" t="s">
        <v>83</v>
      </c>
      <c r="C37" s="65"/>
      <c r="D37" s="49" t="s">
        <v>76</v>
      </c>
      <c r="E37" s="62" t="s">
        <v>31</v>
      </c>
      <c r="F37" s="68">
        <v>1</v>
      </c>
      <c r="G37" s="70" t="s">
        <v>16</v>
      </c>
      <c r="H37" s="60">
        <v>3000000</v>
      </c>
      <c r="I37" s="60">
        <f>F37*H37</f>
        <v>3000000</v>
      </c>
      <c r="J37" s="17" t="s">
        <v>33</v>
      </c>
      <c r="K37" s="5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49.75" customHeight="1" x14ac:dyDescent="0.6">
      <c r="A38" s="63"/>
      <c r="B38" s="66"/>
      <c r="C38" s="67"/>
      <c r="D38" s="50"/>
      <c r="E38" s="63"/>
      <c r="F38" s="69"/>
      <c r="G38" s="71"/>
      <c r="H38" s="61"/>
      <c r="I38" s="61"/>
      <c r="J38" s="16" t="s">
        <v>34</v>
      </c>
      <c r="K38" s="5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30" customHeight="1" x14ac:dyDescent="0.6">
      <c r="A39" s="41"/>
      <c r="B39" s="82" t="s">
        <v>63</v>
      </c>
      <c r="C39" s="83"/>
      <c r="D39" s="51"/>
      <c r="E39" s="19"/>
      <c r="F39" s="18">
        <f>SUM(F29:F38)</f>
        <v>5</v>
      </c>
      <c r="G39" s="25"/>
      <c r="H39" s="26"/>
      <c r="I39" s="27">
        <f>SUM(I29:I37)</f>
        <v>15000000</v>
      </c>
      <c r="J39" s="22"/>
      <c r="K39" s="5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40" customHeight="1" x14ac:dyDescent="0.6">
      <c r="A40" s="62">
        <v>15</v>
      </c>
      <c r="B40" s="64" t="s">
        <v>84</v>
      </c>
      <c r="C40" s="65"/>
      <c r="D40" s="49" t="s">
        <v>76</v>
      </c>
      <c r="E40" s="62" t="s">
        <v>31</v>
      </c>
      <c r="F40" s="68">
        <v>1</v>
      </c>
      <c r="G40" s="70" t="s">
        <v>20</v>
      </c>
      <c r="H40" s="60">
        <v>3000000</v>
      </c>
      <c r="I40" s="60">
        <f>F40*H40</f>
        <v>3000000</v>
      </c>
      <c r="J40" s="17" t="s">
        <v>33</v>
      </c>
      <c r="K40" s="5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40" customHeight="1" x14ac:dyDescent="0.6">
      <c r="A41" s="63"/>
      <c r="B41" s="66"/>
      <c r="C41" s="67"/>
      <c r="D41" s="50"/>
      <c r="E41" s="63"/>
      <c r="F41" s="69"/>
      <c r="G41" s="71"/>
      <c r="H41" s="61"/>
      <c r="I41" s="61"/>
      <c r="J41" s="16" t="s">
        <v>34</v>
      </c>
      <c r="K41" s="5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40" customHeight="1" x14ac:dyDescent="0.6">
      <c r="A42" s="62">
        <v>16</v>
      </c>
      <c r="B42" s="64" t="s">
        <v>87</v>
      </c>
      <c r="C42" s="65"/>
      <c r="D42" s="49" t="s">
        <v>76</v>
      </c>
      <c r="E42" s="62" t="s">
        <v>31</v>
      </c>
      <c r="F42" s="68">
        <v>1</v>
      </c>
      <c r="G42" s="70" t="s">
        <v>17</v>
      </c>
      <c r="H42" s="60">
        <v>3000000</v>
      </c>
      <c r="I42" s="60">
        <f>F42*H42</f>
        <v>3000000</v>
      </c>
      <c r="J42" s="17" t="s">
        <v>33</v>
      </c>
      <c r="K42" s="5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98.4" customHeight="1" x14ac:dyDescent="0.6">
      <c r="A43" s="63"/>
      <c r="B43" s="66"/>
      <c r="C43" s="67"/>
      <c r="D43" s="50"/>
      <c r="E43" s="63"/>
      <c r="F43" s="69"/>
      <c r="G43" s="71"/>
      <c r="H43" s="61"/>
      <c r="I43" s="61"/>
      <c r="J43" s="16" t="s">
        <v>34</v>
      </c>
      <c r="K43" s="5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40" customHeight="1" x14ac:dyDescent="0.6">
      <c r="A44" s="62">
        <v>17</v>
      </c>
      <c r="B44" s="64" t="s">
        <v>88</v>
      </c>
      <c r="C44" s="65"/>
      <c r="D44" s="49" t="s">
        <v>76</v>
      </c>
      <c r="E44" s="62" t="s">
        <v>31</v>
      </c>
      <c r="F44" s="68">
        <v>1</v>
      </c>
      <c r="G44" s="70" t="s">
        <v>18</v>
      </c>
      <c r="H44" s="60">
        <v>3000000</v>
      </c>
      <c r="I44" s="60">
        <f>F44*H44</f>
        <v>3000000</v>
      </c>
      <c r="J44" s="17" t="s">
        <v>33</v>
      </c>
      <c r="K44" s="5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78" customHeight="1" x14ac:dyDescent="0.6">
      <c r="A45" s="63"/>
      <c r="B45" s="66"/>
      <c r="C45" s="67"/>
      <c r="D45" s="50"/>
      <c r="E45" s="63"/>
      <c r="F45" s="69"/>
      <c r="G45" s="71"/>
      <c r="H45" s="61"/>
      <c r="I45" s="61"/>
      <c r="J45" s="16" t="s">
        <v>34</v>
      </c>
      <c r="K45" s="5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40" customHeight="1" x14ac:dyDescent="0.6">
      <c r="A46" s="62">
        <v>18</v>
      </c>
      <c r="B46" s="64" t="s">
        <v>2</v>
      </c>
      <c r="C46" s="65"/>
      <c r="D46" s="49" t="s">
        <v>76</v>
      </c>
      <c r="E46" s="62" t="s">
        <v>31</v>
      </c>
      <c r="F46" s="68">
        <v>1</v>
      </c>
      <c r="G46" s="91" t="s">
        <v>35</v>
      </c>
      <c r="H46" s="60">
        <v>3000000</v>
      </c>
      <c r="I46" s="60">
        <f>F46*H46</f>
        <v>3000000</v>
      </c>
      <c r="J46" s="17" t="s">
        <v>33</v>
      </c>
      <c r="K46" s="5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74.400000000000006" customHeight="1" x14ac:dyDescent="0.6">
      <c r="A47" s="63"/>
      <c r="B47" s="66"/>
      <c r="C47" s="67"/>
      <c r="D47" s="50"/>
      <c r="E47" s="63"/>
      <c r="F47" s="69"/>
      <c r="G47" s="92"/>
      <c r="H47" s="61"/>
      <c r="I47" s="61"/>
      <c r="J47" s="16" t="s">
        <v>34</v>
      </c>
      <c r="K47" s="5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40" customHeight="1" x14ac:dyDescent="0.6">
      <c r="A48" s="62">
        <v>19</v>
      </c>
      <c r="B48" s="64" t="s">
        <v>3</v>
      </c>
      <c r="C48" s="65"/>
      <c r="D48" s="49" t="s">
        <v>76</v>
      </c>
      <c r="E48" s="62" t="s">
        <v>31</v>
      </c>
      <c r="F48" s="68">
        <v>1</v>
      </c>
      <c r="G48" s="70" t="s">
        <v>19</v>
      </c>
      <c r="H48" s="60">
        <v>3000000</v>
      </c>
      <c r="I48" s="60">
        <f>F48*H48</f>
        <v>3000000</v>
      </c>
      <c r="J48" s="17" t="s">
        <v>33</v>
      </c>
      <c r="K48" s="5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68.400000000000006" customHeight="1" x14ac:dyDescent="0.6">
      <c r="A49" s="63"/>
      <c r="B49" s="66"/>
      <c r="C49" s="67"/>
      <c r="D49" s="50"/>
      <c r="E49" s="63"/>
      <c r="F49" s="69"/>
      <c r="G49" s="71"/>
      <c r="H49" s="61"/>
      <c r="I49" s="61"/>
      <c r="J49" s="16" t="s">
        <v>34</v>
      </c>
      <c r="K49" s="5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30" customHeight="1" x14ac:dyDescent="0.6">
      <c r="A50" s="41"/>
      <c r="B50" s="82" t="s">
        <v>62</v>
      </c>
      <c r="C50" s="83"/>
      <c r="D50" s="51"/>
      <c r="E50" s="19"/>
      <c r="F50" s="18">
        <v>5</v>
      </c>
      <c r="G50" s="25"/>
      <c r="H50" s="26"/>
      <c r="I50" s="27">
        <f>SUM(I40:I48)</f>
        <v>15000000</v>
      </c>
      <c r="J50" s="22"/>
      <c r="K50" s="5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40" customHeight="1" x14ac:dyDescent="0.6">
      <c r="A51" s="62">
        <v>20</v>
      </c>
      <c r="B51" s="64" t="s">
        <v>78</v>
      </c>
      <c r="C51" s="65"/>
      <c r="D51" s="49" t="s">
        <v>77</v>
      </c>
      <c r="E51" s="62" t="s">
        <v>31</v>
      </c>
      <c r="F51" s="68">
        <v>1</v>
      </c>
      <c r="G51" s="70" t="s">
        <v>13</v>
      </c>
      <c r="H51" s="60">
        <v>8000000</v>
      </c>
      <c r="I51" s="60">
        <f>F51*H51</f>
        <v>8000000</v>
      </c>
      <c r="J51" s="17" t="s">
        <v>33</v>
      </c>
      <c r="K51" s="5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40" customHeight="1" x14ac:dyDescent="0.6">
      <c r="A52" s="63"/>
      <c r="B52" s="66"/>
      <c r="C52" s="67"/>
      <c r="D52" s="50"/>
      <c r="E52" s="63"/>
      <c r="F52" s="69"/>
      <c r="G52" s="71"/>
      <c r="H52" s="61"/>
      <c r="I52" s="61"/>
      <c r="J52" s="16" t="s">
        <v>34</v>
      </c>
      <c r="K52" s="5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40" customHeight="1" x14ac:dyDescent="0.6">
      <c r="A53" s="62">
        <v>21</v>
      </c>
      <c r="B53" s="64" t="s">
        <v>69</v>
      </c>
      <c r="C53" s="65"/>
      <c r="D53" s="49" t="s">
        <v>77</v>
      </c>
      <c r="E53" s="62" t="s">
        <v>31</v>
      </c>
      <c r="F53" s="68">
        <v>1</v>
      </c>
      <c r="G53" s="70" t="s">
        <v>12</v>
      </c>
      <c r="H53" s="60">
        <v>3000000</v>
      </c>
      <c r="I53" s="60">
        <f>F53*H53</f>
        <v>3000000</v>
      </c>
      <c r="J53" s="17" t="s">
        <v>33</v>
      </c>
      <c r="K53" s="5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40" customHeight="1" x14ac:dyDescent="0.6">
      <c r="A54" s="63"/>
      <c r="B54" s="66"/>
      <c r="C54" s="67"/>
      <c r="D54" s="50"/>
      <c r="E54" s="63"/>
      <c r="F54" s="69"/>
      <c r="G54" s="71"/>
      <c r="H54" s="61"/>
      <c r="I54" s="61"/>
      <c r="J54" s="16" t="s">
        <v>34</v>
      </c>
      <c r="K54" s="5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51" customHeight="1" x14ac:dyDescent="0.6">
      <c r="A55" s="62">
        <v>22</v>
      </c>
      <c r="B55" s="64" t="s">
        <v>4</v>
      </c>
      <c r="C55" s="65"/>
      <c r="D55" s="49" t="s">
        <v>77</v>
      </c>
      <c r="E55" s="62" t="s">
        <v>31</v>
      </c>
      <c r="F55" s="68">
        <v>1</v>
      </c>
      <c r="G55" s="70" t="s">
        <v>21</v>
      </c>
      <c r="H55" s="60">
        <v>3000000</v>
      </c>
      <c r="I55" s="60">
        <f>F55*H55</f>
        <v>3000000</v>
      </c>
      <c r="J55" s="17" t="s">
        <v>33</v>
      </c>
      <c r="K55" s="5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51" customHeight="1" x14ac:dyDescent="0.6">
      <c r="A56" s="63"/>
      <c r="B56" s="66"/>
      <c r="C56" s="67"/>
      <c r="D56" s="50"/>
      <c r="E56" s="63"/>
      <c r="F56" s="69"/>
      <c r="G56" s="71"/>
      <c r="H56" s="61"/>
      <c r="I56" s="61"/>
      <c r="J56" s="16" t="s">
        <v>34</v>
      </c>
      <c r="K56" s="5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53.4" customHeight="1" x14ac:dyDescent="0.6">
      <c r="A57" s="62">
        <v>23</v>
      </c>
      <c r="B57" s="64" t="s">
        <v>5</v>
      </c>
      <c r="C57" s="65"/>
      <c r="D57" s="49" t="s">
        <v>77</v>
      </c>
      <c r="E57" s="62" t="s">
        <v>31</v>
      </c>
      <c r="F57" s="68">
        <v>1</v>
      </c>
      <c r="G57" s="70" t="s">
        <v>15</v>
      </c>
      <c r="H57" s="60">
        <v>3000000</v>
      </c>
      <c r="I57" s="60">
        <f>F57*H57</f>
        <v>3000000</v>
      </c>
      <c r="J57" s="17" t="s">
        <v>33</v>
      </c>
      <c r="K57" s="5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53.4" customHeight="1" x14ac:dyDescent="0.6">
      <c r="A58" s="63"/>
      <c r="B58" s="66"/>
      <c r="C58" s="67"/>
      <c r="D58" s="50"/>
      <c r="E58" s="63"/>
      <c r="F58" s="69"/>
      <c r="G58" s="71"/>
      <c r="H58" s="61"/>
      <c r="I58" s="61"/>
      <c r="J58" s="16" t="s">
        <v>34</v>
      </c>
      <c r="K58" s="5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53.4" customHeight="1" x14ac:dyDescent="0.6">
      <c r="A59" s="62">
        <v>24</v>
      </c>
      <c r="B59" s="64" t="s">
        <v>6</v>
      </c>
      <c r="C59" s="65"/>
      <c r="D59" s="49" t="s">
        <v>77</v>
      </c>
      <c r="E59" s="62" t="s">
        <v>31</v>
      </c>
      <c r="F59" s="68">
        <v>1</v>
      </c>
      <c r="G59" s="70" t="s">
        <v>15</v>
      </c>
      <c r="H59" s="60">
        <v>3000000</v>
      </c>
      <c r="I59" s="60">
        <f>F59*H59</f>
        <v>3000000</v>
      </c>
      <c r="J59" s="17" t="s">
        <v>33</v>
      </c>
      <c r="K59" s="5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53.4" customHeight="1" x14ac:dyDescent="0.6">
      <c r="A60" s="63"/>
      <c r="B60" s="66"/>
      <c r="C60" s="67"/>
      <c r="D60" s="50"/>
      <c r="E60" s="63"/>
      <c r="F60" s="69"/>
      <c r="G60" s="71"/>
      <c r="H60" s="61"/>
      <c r="I60" s="61"/>
      <c r="J60" s="16" t="s">
        <v>34</v>
      </c>
      <c r="K60" s="5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30" customHeight="1" x14ac:dyDescent="0.6">
      <c r="A61" s="41"/>
      <c r="B61" s="82" t="s">
        <v>64</v>
      </c>
      <c r="C61" s="83"/>
      <c r="D61" s="51"/>
      <c r="E61" s="19"/>
      <c r="F61" s="18">
        <v>5</v>
      </c>
      <c r="G61" s="25"/>
      <c r="H61" s="26"/>
      <c r="I61" s="27">
        <f>SUM(I51:I59)</f>
        <v>20000000</v>
      </c>
      <c r="J61" s="22"/>
      <c r="K61" s="5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40" customHeight="1" x14ac:dyDescent="0.6">
      <c r="A62" s="62">
        <v>25</v>
      </c>
      <c r="B62" s="64" t="s">
        <v>86</v>
      </c>
      <c r="C62" s="65"/>
      <c r="D62" s="49" t="s">
        <v>77</v>
      </c>
      <c r="E62" s="62" t="s">
        <v>31</v>
      </c>
      <c r="F62" s="68">
        <v>2</v>
      </c>
      <c r="G62" s="70" t="s">
        <v>13</v>
      </c>
      <c r="H62" s="60">
        <v>3000000</v>
      </c>
      <c r="I62" s="60">
        <f>F62*H62</f>
        <v>6000000</v>
      </c>
      <c r="J62" s="17" t="s">
        <v>33</v>
      </c>
      <c r="K62" s="5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40" customHeight="1" x14ac:dyDescent="0.6">
      <c r="A63" s="63"/>
      <c r="B63" s="66"/>
      <c r="C63" s="67"/>
      <c r="D63" s="50"/>
      <c r="E63" s="63"/>
      <c r="F63" s="69"/>
      <c r="G63" s="71"/>
      <c r="H63" s="61"/>
      <c r="I63" s="61"/>
      <c r="J63" s="16" t="s">
        <v>34</v>
      </c>
      <c r="K63" s="5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40" customHeight="1" x14ac:dyDescent="0.6">
      <c r="A64" s="62">
        <v>26</v>
      </c>
      <c r="B64" s="64" t="s">
        <v>85</v>
      </c>
      <c r="C64" s="65"/>
      <c r="D64" s="49" t="s">
        <v>77</v>
      </c>
      <c r="E64" s="62" t="s">
        <v>31</v>
      </c>
      <c r="F64" s="68">
        <v>2</v>
      </c>
      <c r="G64" s="70" t="s">
        <v>12</v>
      </c>
      <c r="H64" s="60">
        <v>3000000</v>
      </c>
      <c r="I64" s="60">
        <f>F64*H64</f>
        <v>6000000</v>
      </c>
      <c r="J64" s="17" t="s">
        <v>33</v>
      </c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40" customHeight="1" x14ac:dyDescent="0.6">
      <c r="A65" s="63"/>
      <c r="B65" s="66"/>
      <c r="C65" s="67"/>
      <c r="D65" s="50"/>
      <c r="E65" s="63"/>
      <c r="F65" s="69"/>
      <c r="G65" s="71"/>
      <c r="H65" s="61"/>
      <c r="I65" s="61"/>
      <c r="J65" s="16" t="s">
        <v>34</v>
      </c>
      <c r="K65" s="5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40" customHeight="1" x14ac:dyDescent="0.6">
      <c r="A66" s="62">
        <v>27</v>
      </c>
      <c r="B66" s="64" t="s">
        <v>45</v>
      </c>
      <c r="C66" s="65"/>
      <c r="D66" s="49" t="s">
        <v>75</v>
      </c>
      <c r="E66" s="62" t="s">
        <v>31</v>
      </c>
      <c r="F66" s="68">
        <v>6</v>
      </c>
      <c r="G66" s="70" t="s">
        <v>22</v>
      </c>
      <c r="H66" s="60">
        <v>3000000</v>
      </c>
      <c r="I66" s="60">
        <f>F66*H66</f>
        <v>18000000</v>
      </c>
      <c r="J66" s="17" t="s">
        <v>33</v>
      </c>
      <c r="K66" s="5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40" customHeight="1" x14ac:dyDescent="0.6">
      <c r="A67" s="63"/>
      <c r="B67" s="66"/>
      <c r="C67" s="67"/>
      <c r="D67" s="50"/>
      <c r="E67" s="63"/>
      <c r="F67" s="69"/>
      <c r="G67" s="71"/>
      <c r="H67" s="61"/>
      <c r="I67" s="61"/>
      <c r="J67" s="16" t="s">
        <v>34</v>
      </c>
      <c r="K67" s="5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40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30" customHeight="1" x14ac:dyDescent="0.6">
      <c r="A68" s="41"/>
      <c r="B68" s="82" t="s">
        <v>71</v>
      </c>
      <c r="C68" s="83"/>
      <c r="D68" s="51"/>
      <c r="E68" s="19"/>
      <c r="F68" s="18">
        <v>10</v>
      </c>
      <c r="G68" s="25"/>
      <c r="H68" s="26"/>
      <c r="I68" s="27">
        <f>SUM(I62:I66)</f>
        <v>30000000</v>
      </c>
      <c r="J68" s="27"/>
      <c r="K68" s="5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40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40" customHeight="1" x14ac:dyDescent="0.6">
      <c r="A69" s="62">
        <v>28</v>
      </c>
      <c r="B69" s="64" t="s">
        <v>36</v>
      </c>
      <c r="C69" s="65"/>
      <c r="D69" s="49" t="s">
        <v>75</v>
      </c>
      <c r="E69" s="62" t="s">
        <v>31</v>
      </c>
      <c r="F69" s="68">
        <v>10</v>
      </c>
      <c r="G69" s="70" t="s">
        <v>22</v>
      </c>
      <c r="H69" s="60">
        <v>3000000</v>
      </c>
      <c r="I69" s="60">
        <f>F69*H69</f>
        <v>30000000</v>
      </c>
      <c r="J69" s="17" t="s">
        <v>33</v>
      </c>
      <c r="K69" s="5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40" customHeight="1" x14ac:dyDescent="0.6">
      <c r="A70" s="63"/>
      <c r="B70" s="66"/>
      <c r="C70" s="67"/>
      <c r="D70" s="50"/>
      <c r="E70" s="63"/>
      <c r="F70" s="69"/>
      <c r="G70" s="71"/>
      <c r="H70" s="61"/>
      <c r="I70" s="61"/>
      <c r="J70" s="16" t="s">
        <v>34</v>
      </c>
      <c r="K70" s="5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30" customHeight="1" x14ac:dyDescent="0.6">
      <c r="A71" s="41"/>
      <c r="B71" s="82" t="s">
        <v>89</v>
      </c>
      <c r="C71" s="83"/>
      <c r="D71" s="51"/>
      <c r="E71" s="19"/>
      <c r="F71" s="18">
        <f>SUM(F69)</f>
        <v>10</v>
      </c>
      <c r="G71" s="25"/>
      <c r="H71" s="26"/>
      <c r="I71" s="27">
        <f>SUM(I69)</f>
        <v>30000000</v>
      </c>
      <c r="J71" s="27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40" customHeight="1" x14ac:dyDescent="0.6">
      <c r="A72" s="62">
        <v>29</v>
      </c>
      <c r="B72" s="64" t="s">
        <v>7</v>
      </c>
      <c r="C72" s="65"/>
      <c r="D72" s="49" t="s">
        <v>75</v>
      </c>
      <c r="E72" s="62" t="s">
        <v>31</v>
      </c>
      <c r="F72" s="68">
        <v>4</v>
      </c>
      <c r="G72" s="70" t="s">
        <v>22</v>
      </c>
      <c r="H72" s="60">
        <v>3000000</v>
      </c>
      <c r="I72" s="60">
        <f>F72*H72</f>
        <v>12000000</v>
      </c>
      <c r="J72" s="17" t="s">
        <v>33</v>
      </c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40" customHeight="1" x14ac:dyDescent="0.6">
      <c r="A73" s="63"/>
      <c r="B73" s="66"/>
      <c r="C73" s="67"/>
      <c r="D73" s="50"/>
      <c r="E73" s="63"/>
      <c r="F73" s="69"/>
      <c r="G73" s="71"/>
      <c r="H73" s="61"/>
      <c r="I73" s="61"/>
      <c r="J73" s="16" t="s">
        <v>34</v>
      </c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40" customHeight="1" x14ac:dyDescent="0.6">
      <c r="A74" s="62">
        <v>30</v>
      </c>
      <c r="B74" s="64" t="s">
        <v>70</v>
      </c>
      <c r="C74" s="65"/>
      <c r="D74" s="49" t="s">
        <v>75</v>
      </c>
      <c r="E74" s="62" t="s">
        <v>31</v>
      </c>
      <c r="F74" s="68">
        <v>2</v>
      </c>
      <c r="G74" s="70" t="s">
        <v>22</v>
      </c>
      <c r="H74" s="60">
        <v>3000000</v>
      </c>
      <c r="I74" s="60">
        <f>F74*H74</f>
        <v>6000000</v>
      </c>
      <c r="J74" s="17" t="s">
        <v>33</v>
      </c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40" customHeight="1" x14ac:dyDescent="0.6">
      <c r="A75" s="63"/>
      <c r="B75" s="66"/>
      <c r="C75" s="67"/>
      <c r="D75" s="50"/>
      <c r="E75" s="63"/>
      <c r="F75" s="69"/>
      <c r="G75" s="71"/>
      <c r="H75" s="61"/>
      <c r="I75" s="61"/>
      <c r="J75" s="16" t="s">
        <v>34</v>
      </c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30" customHeight="1" x14ac:dyDescent="0.6">
      <c r="A76" s="41"/>
      <c r="B76" s="82" t="s">
        <v>72</v>
      </c>
      <c r="C76" s="83"/>
      <c r="D76" s="51"/>
      <c r="E76" s="19"/>
      <c r="F76" s="18">
        <f>SUM(F72:F75)</f>
        <v>6</v>
      </c>
      <c r="G76" s="25"/>
      <c r="H76" s="26"/>
      <c r="I76" s="27">
        <f>SUM(I72:I74)</f>
        <v>18000000</v>
      </c>
      <c r="J76" s="27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40" customHeight="1" x14ac:dyDescent="0.6">
      <c r="A77" s="62">
        <v>31</v>
      </c>
      <c r="B77" s="64" t="s">
        <v>9</v>
      </c>
      <c r="C77" s="65"/>
      <c r="D77" s="49"/>
      <c r="E77" s="62" t="s">
        <v>37</v>
      </c>
      <c r="F77" s="68">
        <v>0</v>
      </c>
      <c r="G77" s="70"/>
      <c r="H77" s="23"/>
      <c r="I77" s="93"/>
      <c r="J77" s="17" t="s">
        <v>33</v>
      </c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40" customHeight="1" x14ac:dyDescent="0.6">
      <c r="A78" s="63"/>
      <c r="B78" s="66"/>
      <c r="C78" s="67"/>
      <c r="D78" s="50"/>
      <c r="E78" s="63"/>
      <c r="F78" s="69"/>
      <c r="G78" s="71"/>
      <c r="H78" s="24"/>
      <c r="I78" s="94"/>
      <c r="J78" s="16" t="s">
        <v>34</v>
      </c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40" customHeight="1" x14ac:dyDescent="0.6">
      <c r="A79" s="62">
        <v>32</v>
      </c>
      <c r="B79" s="64" t="s">
        <v>41</v>
      </c>
      <c r="C79" s="65"/>
      <c r="D79" s="49"/>
      <c r="E79" s="62" t="s">
        <v>8</v>
      </c>
      <c r="F79" s="68">
        <v>0</v>
      </c>
      <c r="G79" s="70"/>
      <c r="H79" s="23"/>
      <c r="I79" s="93"/>
      <c r="J79" s="17" t="s">
        <v>33</v>
      </c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40" customHeight="1" x14ac:dyDescent="0.6">
      <c r="A80" s="63"/>
      <c r="B80" s="66"/>
      <c r="C80" s="67"/>
      <c r="D80" s="50"/>
      <c r="E80" s="63"/>
      <c r="F80" s="69"/>
      <c r="G80" s="71"/>
      <c r="H80" s="24"/>
      <c r="I80" s="94"/>
      <c r="J80" s="16" t="s">
        <v>34</v>
      </c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40" customHeight="1" x14ac:dyDescent="0.6">
      <c r="A81" s="62">
        <v>33</v>
      </c>
      <c r="B81" s="64" t="s">
        <v>38</v>
      </c>
      <c r="C81" s="65"/>
      <c r="D81" s="49" t="s">
        <v>75</v>
      </c>
      <c r="E81" s="62" t="s">
        <v>31</v>
      </c>
      <c r="F81" s="68">
        <v>4</v>
      </c>
      <c r="G81" s="70" t="s">
        <v>22</v>
      </c>
      <c r="H81" s="60">
        <v>3000000</v>
      </c>
      <c r="I81" s="60">
        <f>F81*H81</f>
        <v>12000000</v>
      </c>
      <c r="J81" s="17" t="s">
        <v>33</v>
      </c>
      <c r="K81" s="5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40" customHeight="1" x14ac:dyDescent="0.6">
      <c r="A82" s="63"/>
      <c r="B82" s="66"/>
      <c r="C82" s="67"/>
      <c r="D82" s="50"/>
      <c r="E82" s="63"/>
      <c r="F82" s="69"/>
      <c r="G82" s="71"/>
      <c r="H82" s="61"/>
      <c r="I82" s="61"/>
      <c r="J82" s="16" t="s">
        <v>34</v>
      </c>
      <c r="K82" s="5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30" customHeight="1" x14ac:dyDescent="0.6">
      <c r="A83" s="41"/>
      <c r="B83" s="82" t="s">
        <v>73</v>
      </c>
      <c r="C83" s="83"/>
      <c r="D83" s="51"/>
      <c r="E83" s="19"/>
      <c r="F83" s="18">
        <f>SUM(F81)</f>
        <v>4</v>
      </c>
      <c r="G83" s="25"/>
      <c r="H83" s="26"/>
      <c r="I83" s="27">
        <f>SUM(I81)</f>
        <v>12000000</v>
      </c>
      <c r="J83" s="27"/>
      <c r="K83" s="5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40" customHeight="1" x14ac:dyDescent="0.6">
      <c r="A84" s="62">
        <v>34</v>
      </c>
      <c r="B84" s="64" t="s">
        <v>39</v>
      </c>
      <c r="C84" s="65"/>
      <c r="D84" s="49"/>
      <c r="E84" s="62" t="s">
        <v>8</v>
      </c>
      <c r="F84" s="68">
        <v>0</v>
      </c>
      <c r="G84" s="70"/>
      <c r="H84" s="23"/>
      <c r="I84" s="93"/>
      <c r="J84" s="17" t="s">
        <v>33</v>
      </c>
      <c r="K84" s="5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40" customHeight="1" x14ac:dyDescent="0.6">
      <c r="A85" s="63"/>
      <c r="B85" s="66"/>
      <c r="C85" s="67"/>
      <c r="D85" s="50"/>
      <c r="E85" s="63"/>
      <c r="F85" s="69"/>
      <c r="G85" s="71"/>
      <c r="H85" s="24"/>
      <c r="I85" s="94"/>
      <c r="J85" s="16" t="s">
        <v>34</v>
      </c>
      <c r="K85" s="5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40" customHeight="1" x14ac:dyDescent="0.6">
      <c r="A86" s="62">
        <v>35</v>
      </c>
      <c r="B86" s="64" t="s">
        <v>40</v>
      </c>
      <c r="C86" s="65"/>
      <c r="D86" s="49" t="s">
        <v>75</v>
      </c>
      <c r="E86" s="62" t="s">
        <v>31</v>
      </c>
      <c r="F86" s="68">
        <v>6</v>
      </c>
      <c r="G86" s="70"/>
      <c r="H86" s="60">
        <v>3000000</v>
      </c>
      <c r="I86" s="60">
        <f>F86*H86</f>
        <v>18000000</v>
      </c>
      <c r="J86" s="17" t="s">
        <v>33</v>
      </c>
      <c r="K86" s="5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40" customHeight="1" x14ac:dyDescent="0.6">
      <c r="A87" s="63"/>
      <c r="B87" s="66"/>
      <c r="C87" s="67"/>
      <c r="D87" s="50"/>
      <c r="E87" s="63"/>
      <c r="F87" s="69"/>
      <c r="G87" s="71"/>
      <c r="H87" s="61"/>
      <c r="I87" s="61"/>
      <c r="J87" s="16" t="s">
        <v>34</v>
      </c>
      <c r="K87" s="5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40" customHeight="1" x14ac:dyDescent="0.6">
      <c r="A88" s="62">
        <v>36</v>
      </c>
      <c r="B88" s="64" t="s">
        <v>53</v>
      </c>
      <c r="C88" s="65"/>
      <c r="D88" s="49"/>
      <c r="E88" s="62" t="s">
        <v>31</v>
      </c>
      <c r="F88" s="68"/>
      <c r="G88" s="28"/>
      <c r="H88" s="23"/>
      <c r="I88" s="29"/>
      <c r="J88" s="17" t="s">
        <v>33</v>
      </c>
      <c r="K88" s="5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40" customHeight="1" x14ac:dyDescent="0.6">
      <c r="A89" s="63"/>
      <c r="B89" s="66"/>
      <c r="C89" s="67"/>
      <c r="D89" s="50"/>
      <c r="E89" s="63"/>
      <c r="F89" s="69"/>
      <c r="G89" s="30"/>
      <c r="H89" s="31"/>
      <c r="I89" s="32"/>
      <c r="J89" s="16" t="s">
        <v>34</v>
      </c>
      <c r="K89" s="5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30" customHeight="1" x14ac:dyDescent="0.6">
      <c r="A90" s="41"/>
      <c r="B90" s="82" t="s">
        <v>74</v>
      </c>
      <c r="C90" s="83"/>
      <c r="D90" s="51"/>
      <c r="E90" s="19"/>
      <c r="F90" s="18">
        <f>SUM(F86)</f>
        <v>6</v>
      </c>
      <c r="G90" s="25"/>
      <c r="H90" s="26"/>
      <c r="I90" s="27">
        <f>SUM(I84:I89)</f>
        <v>18000000</v>
      </c>
      <c r="J90" s="27"/>
      <c r="K90" s="5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32" customHeight="1" x14ac:dyDescent="0.6">
      <c r="A91" s="33"/>
      <c r="B91" s="57" t="s">
        <v>10</v>
      </c>
      <c r="C91" s="58"/>
      <c r="D91" s="58"/>
      <c r="E91" s="59"/>
      <c r="F91" s="34">
        <f>SUM(F12,F23,F28,F39,F50,F61,F68,F71,F76,F83,F90)</f>
        <v>69</v>
      </c>
      <c r="G91" s="34"/>
      <c r="H91" s="34"/>
      <c r="I91" s="39">
        <v>464000000</v>
      </c>
      <c r="J91" s="36"/>
    </row>
    <row r="92" spans="1:38" ht="45" customHeight="1" x14ac:dyDescent="0.6">
      <c r="A92" s="33"/>
      <c r="B92" s="79" t="s">
        <v>91</v>
      </c>
      <c r="C92" s="80"/>
      <c r="D92" s="80"/>
      <c r="E92" s="81"/>
      <c r="F92" s="34"/>
      <c r="G92" s="35"/>
      <c r="H92" s="35"/>
      <c r="I92" s="47">
        <v>366100000</v>
      </c>
      <c r="J92" s="36"/>
    </row>
    <row r="93" spans="1:38" ht="45" customHeight="1" x14ac:dyDescent="0.6">
      <c r="A93" s="33"/>
      <c r="B93" s="79" t="s">
        <v>66</v>
      </c>
      <c r="C93" s="80"/>
      <c r="D93" s="80"/>
      <c r="E93" s="81"/>
      <c r="F93" s="34"/>
      <c r="G93" s="35"/>
      <c r="H93" s="35"/>
      <c r="I93" s="47">
        <v>205100000</v>
      </c>
      <c r="J93" s="36"/>
    </row>
    <row r="94" spans="1:38" ht="50.4" customHeight="1" x14ac:dyDescent="0.6">
      <c r="A94" s="33"/>
      <c r="B94" s="72" t="s">
        <v>46</v>
      </c>
      <c r="C94" s="73"/>
      <c r="D94" s="73"/>
      <c r="E94" s="74"/>
      <c r="F94" s="37"/>
      <c r="G94" s="38"/>
      <c r="H94" s="38"/>
      <c r="I94" s="38">
        <v>625000000</v>
      </c>
      <c r="J94" s="36"/>
    </row>
    <row r="95" spans="1:38" ht="54" customHeight="1" x14ac:dyDescent="0.6">
      <c r="A95" s="48" t="s">
        <v>65</v>
      </c>
      <c r="B95" s="33"/>
      <c r="C95" s="33"/>
      <c r="D95" s="33"/>
      <c r="E95" s="33"/>
      <c r="F95" s="33"/>
      <c r="G95" s="33"/>
      <c r="H95" s="33"/>
      <c r="I95" s="33"/>
      <c r="J95" s="33"/>
    </row>
    <row r="96" spans="1:38" ht="79.75" customHeight="1" x14ac:dyDescent="0.6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 spans="1:10" ht="69.650000000000006" customHeight="1" x14ac:dyDescent="0.6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 spans="1:10" ht="69.650000000000006" customHeight="1" x14ac:dyDescent="0.6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 spans="1:10" ht="69.650000000000006" customHeight="1" x14ac:dyDescent="0.6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 spans="1:10" ht="69.650000000000006" customHeight="1" x14ac:dyDescent="0.6">
      <c r="A100" s="33"/>
      <c r="J100" s="33"/>
    </row>
    <row r="101" spans="1:10" ht="69.650000000000006" customHeight="1" x14ac:dyDescent="0.6">
      <c r="J101"/>
    </row>
    <row r="102" spans="1:10" ht="69.650000000000006" customHeight="1" x14ac:dyDescent="0.6">
      <c r="J102"/>
    </row>
    <row r="103" spans="1:10" ht="69.650000000000006" customHeight="1" x14ac:dyDescent="0.6">
      <c r="J103"/>
    </row>
    <row r="104" spans="1:10" x14ac:dyDescent="0.6">
      <c r="J104"/>
    </row>
    <row r="105" spans="1:10" x14ac:dyDescent="0.6">
      <c r="J105"/>
    </row>
    <row r="106" spans="1:10" ht="77" customHeight="1" x14ac:dyDescent="0.6">
      <c r="J106"/>
    </row>
    <row r="107" spans="1:10" x14ac:dyDescent="0.6">
      <c r="J107"/>
    </row>
    <row r="108" spans="1:10" x14ac:dyDescent="0.6">
      <c r="E108">
        <v>6</v>
      </c>
      <c r="J108"/>
    </row>
    <row r="109" spans="1:10" x14ac:dyDescent="0.6">
      <c r="E109">
        <v>8</v>
      </c>
      <c r="J109"/>
    </row>
    <row r="110" spans="1:10" x14ac:dyDescent="0.6">
      <c r="E110">
        <v>10</v>
      </c>
      <c r="J110"/>
    </row>
    <row r="111" spans="1:10" x14ac:dyDescent="0.6">
      <c r="E111">
        <v>8</v>
      </c>
      <c r="J111"/>
    </row>
    <row r="112" spans="1:10" x14ac:dyDescent="0.6">
      <c r="E112">
        <v>10</v>
      </c>
      <c r="J112"/>
    </row>
    <row r="113" spans="5:10" x14ac:dyDescent="0.6">
      <c r="E113">
        <v>12</v>
      </c>
      <c r="J113"/>
    </row>
    <row r="114" spans="5:10" x14ac:dyDescent="0.6">
      <c r="E114">
        <v>30</v>
      </c>
      <c r="J114"/>
    </row>
    <row r="115" spans="5:10" x14ac:dyDescent="0.6">
      <c r="E115">
        <v>12</v>
      </c>
      <c r="J115"/>
    </row>
    <row r="116" spans="5:10" x14ac:dyDescent="0.6">
      <c r="E116">
        <v>8</v>
      </c>
      <c r="J116"/>
    </row>
    <row r="117" spans="5:10" x14ac:dyDescent="0.6">
      <c r="E117">
        <v>12</v>
      </c>
      <c r="J117"/>
    </row>
    <row r="118" spans="5:10" x14ac:dyDescent="0.6">
      <c r="E118">
        <f>SUM(E108:E117)</f>
        <v>116</v>
      </c>
      <c r="J118"/>
    </row>
    <row r="119" spans="5:10" x14ac:dyDescent="0.6">
      <c r="J119"/>
    </row>
    <row r="120" spans="5:10" x14ac:dyDescent="0.6">
      <c r="J120"/>
    </row>
    <row r="121" spans="5:10" x14ac:dyDescent="0.6">
      <c r="J121"/>
    </row>
    <row r="122" spans="5:10" x14ac:dyDescent="0.6">
      <c r="J122"/>
    </row>
    <row r="123" spans="5:10" x14ac:dyDescent="0.6">
      <c r="J123"/>
    </row>
    <row r="124" spans="5:10" x14ac:dyDescent="0.6">
      <c r="J124"/>
    </row>
    <row r="125" spans="5:10" x14ac:dyDescent="0.6">
      <c r="J125"/>
    </row>
    <row r="126" spans="5:10" x14ac:dyDescent="0.6">
      <c r="J126"/>
    </row>
    <row r="127" spans="5:10" x14ac:dyDescent="0.6">
      <c r="J127"/>
    </row>
    <row r="128" spans="5:10" x14ac:dyDescent="0.6">
      <c r="J128"/>
    </row>
    <row r="129" spans="10:10" x14ac:dyDescent="0.6">
      <c r="J129"/>
    </row>
    <row r="130" spans="10:10" x14ac:dyDescent="0.6">
      <c r="J130"/>
    </row>
    <row r="131" spans="10:10" x14ac:dyDescent="0.6">
      <c r="J131"/>
    </row>
    <row r="132" spans="10:10" x14ac:dyDescent="0.6">
      <c r="J132"/>
    </row>
    <row r="133" spans="10:10" x14ac:dyDescent="0.6">
      <c r="J133"/>
    </row>
    <row r="134" spans="10:10" x14ac:dyDescent="0.6">
      <c r="J134"/>
    </row>
    <row r="135" spans="10:10" x14ac:dyDescent="0.6">
      <c r="J135"/>
    </row>
    <row r="136" spans="10:10" x14ac:dyDescent="0.6">
      <c r="J136"/>
    </row>
    <row r="137" spans="10:10" x14ac:dyDescent="0.6">
      <c r="J137"/>
    </row>
    <row r="138" spans="10:10" x14ac:dyDescent="0.6">
      <c r="J138"/>
    </row>
    <row r="139" spans="10:10" x14ac:dyDescent="0.6">
      <c r="J139"/>
    </row>
    <row r="140" spans="10:10" x14ac:dyDescent="0.6">
      <c r="J140"/>
    </row>
    <row r="141" spans="10:10" x14ac:dyDescent="0.6">
      <c r="J141"/>
    </row>
    <row r="142" spans="10:10" x14ac:dyDescent="0.6">
      <c r="J142"/>
    </row>
    <row r="143" spans="10:10" x14ac:dyDescent="0.6">
      <c r="J143"/>
    </row>
    <row r="144" spans="10:10" x14ac:dyDescent="0.6">
      <c r="J144"/>
    </row>
    <row r="145" spans="10:10" x14ac:dyDescent="0.6">
      <c r="J145"/>
    </row>
    <row r="146" spans="10:10" x14ac:dyDescent="0.6">
      <c r="J146"/>
    </row>
    <row r="147" spans="10:10" x14ac:dyDescent="0.6">
      <c r="J147"/>
    </row>
    <row r="148" spans="10:10" x14ac:dyDescent="0.6">
      <c r="J148"/>
    </row>
    <row r="149" spans="10:10" x14ac:dyDescent="0.6">
      <c r="J149"/>
    </row>
    <row r="150" spans="10:10" x14ac:dyDescent="0.6">
      <c r="J150"/>
    </row>
    <row r="151" spans="10:10" x14ac:dyDescent="0.6">
      <c r="J151"/>
    </row>
    <row r="152" spans="10:10" x14ac:dyDescent="0.6">
      <c r="J152"/>
    </row>
    <row r="153" spans="10:10" x14ac:dyDescent="0.6">
      <c r="J153"/>
    </row>
    <row r="154" spans="10:10" x14ac:dyDescent="0.6">
      <c r="J154"/>
    </row>
    <row r="155" spans="10:10" x14ac:dyDescent="0.6">
      <c r="J155"/>
    </row>
    <row r="156" spans="10:10" x14ac:dyDescent="0.6">
      <c r="J156"/>
    </row>
    <row r="157" spans="10:10" x14ac:dyDescent="0.6">
      <c r="J157"/>
    </row>
    <row r="158" spans="10:10" x14ac:dyDescent="0.6">
      <c r="J158"/>
    </row>
    <row r="159" spans="10:10" x14ac:dyDescent="0.6">
      <c r="J159"/>
    </row>
    <row r="160" spans="10:10" x14ac:dyDescent="0.6">
      <c r="J160"/>
    </row>
    <row r="161" spans="10:10" x14ac:dyDescent="0.6">
      <c r="J161"/>
    </row>
    <row r="162" spans="10:10" x14ac:dyDescent="0.6">
      <c r="J162"/>
    </row>
    <row r="163" spans="10:10" x14ac:dyDescent="0.6">
      <c r="J163"/>
    </row>
    <row r="164" spans="10:10" x14ac:dyDescent="0.6">
      <c r="J164"/>
    </row>
    <row r="165" spans="10:10" x14ac:dyDescent="0.6">
      <c r="J165"/>
    </row>
    <row r="166" spans="10:10" x14ac:dyDescent="0.6">
      <c r="J166"/>
    </row>
    <row r="167" spans="10:10" x14ac:dyDescent="0.6">
      <c r="J167"/>
    </row>
    <row r="168" spans="10:10" x14ac:dyDescent="0.6">
      <c r="J168"/>
    </row>
    <row r="169" spans="10:10" x14ac:dyDescent="0.6">
      <c r="J169"/>
    </row>
    <row r="170" spans="10:10" x14ac:dyDescent="0.6">
      <c r="J170"/>
    </row>
    <row r="171" spans="10:10" x14ac:dyDescent="0.6">
      <c r="J171"/>
    </row>
    <row r="172" spans="10:10" x14ac:dyDescent="0.6">
      <c r="J172"/>
    </row>
    <row r="173" spans="10:10" x14ac:dyDescent="0.6">
      <c r="J173"/>
    </row>
    <row r="174" spans="10:10" x14ac:dyDescent="0.6">
      <c r="J174"/>
    </row>
    <row r="175" spans="10:10" x14ac:dyDescent="0.6">
      <c r="J175"/>
    </row>
    <row r="176" spans="10:10" x14ac:dyDescent="0.6">
      <c r="J176"/>
    </row>
    <row r="177" spans="10:10" x14ac:dyDescent="0.6">
      <c r="J177"/>
    </row>
    <row r="178" spans="10:10" x14ac:dyDescent="0.6">
      <c r="J178"/>
    </row>
    <row r="179" spans="10:10" x14ac:dyDescent="0.6">
      <c r="J179"/>
    </row>
    <row r="180" spans="10:10" x14ac:dyDescent="0.6">
      <c r="J180"/>
    </row>
    <row r="181" spans="10:10" x14ac:dyDescent="0.6">
      <c r="J181"/>
    </row>
    <row r="182" spans="10:10" x14ac:dyDescent="0.6">
      <c r="J182"/>
    </row>
    <row r="183" spans="10:10" x14ac:dyDescent="0.6">
      <c r="J183"/>
    </row>
    <row r="184" spans="10:10" x14ac:dyDescent="0.6">
      <c r="J184"/>
    </row>
    <row r="185" spans="10:10" x14ac:dyDescent="0.6">
      <c r="J185"/>
    </row>
    <row r="186" spans="10:10" x14ac:dyDescent="0.6">
      <c r="J186"/>
    </row>
    <row r="187" spans="10:10" x14ac:dyDescent="0.6">
      <c r="J187"/>
    </row>
    <row r="188" spans="10:10" x14ac:dyDescent="0.6">
      <c r="J188"/>
    </row>
    <row r="189" spans="10:10" x14ac:dyDescent="0.6">
      <c r="J189"/>
    </row>
    <row r="190" spans="10:10" x14ac:dyDescent="0.6">
      <c r="J190"/>
    </row>
    <row r="191" spans="10:10" x14ac:dyDescent="0.6">
      <c r="J191"/>
    </row>
    <row r="192" spans="10:10" x14ac:dyDescent="0.6">
      <c r="J192"/>
    </row>
    <row r="193" spans="10:10" x14ac:dyDescent="0.6">
      <c r="J193"/>
    </row>
    <row r="194" spans="10:10" x14ac:dyDescent="0.6">
      <c r="J194"/>
    </row>
    <row r="195" spans="10:10" x14ac:dyDescent="0.6">
      <c r="J195"/>
    </row>
    <row r="196" spans="10:10" x14ac:dyDescent="0.6">
      <c r="J196"/>
    </row>
    <row r="197" spans="10:10" x14ac:dyDescent="0.6">
      <c r="J197"/>
    </row>
    <row r="198" spans="10:10" x14ac:dyDescent="0.6">
      <c r="J198"/>
    </row>
    <row r="199" spans="10:10" x14ac:dyDescent="0.6">
      <c r="J199"/>
    </row>
    <row r="200" spans="10:10" x14ac:dyDescent="0.6">
      <c r="J200"/>
    </row>
    <row r="201" spans="10:10" x14ac:dyDescent="0.6">
      <c r="J201"/>
    </row>
    <row r="202" spans="10:10" x14ac:dyDescent="0.6">
      <c r="J202"/>
    </row>
    <row r="203" spans="10:10" x14ac:dyDescent="0.6">
      <c r="J203"/>
    </row>
    <row r="204" spans="10:10" x14ac:dyDescent="0.6">
      <c r="J204"/>
    </row>
    <row r="205" spans="10:10" x14ac:dyDescent="0.6">
      <c r="J205"/>
    </row>
    <row r="206" spans="10:10" x14ac:dyDescent="0.6">
      <c r="J206"/>
    </row>
    <row r="207" spans="10:10" x14ac:dyDescent="0.6">
      <c r="J207"/>
    </row>
    <row r="208" spans="10:10" x14ac:dyDescent="0.6">
      <c r="J208"/>
    </row>
    <row r="209" spans="2:10" x14ac:dyDescent="0.6">
      <c r="J209"/>
    </row>
    <row r="210" spans="2:10" x14ac:dyDescent="0.6">
      <c r="J210"/>
    </row>
    <row r="211" spans="2:10" x14ac:dyDescent="0.6">
      <c r="J211"/>
    </row>
    <row r="212" spans="2:10" x14ac:dyDescent="0.6">
      <c r="J212"/>
    </row>
    <row r="213" spans="2:10" x14ac:dyDescent="0.6">
      <c r="J213"/>
    </row>
    <row r="214" spans="2:10" x14ac:dyDescent="0.6">
      <c r="J214"/>
    </row>
    <row r="215" spans="2:10" x14ac:dyDescent="0.6">
      <c r="J215"/>
    </row>
    <row r="216" spans="2:10" x14ac:dyDescent="0.6">
      <c r="J216"/>
    </row>
    <row r="217" spans="2:10" x14ac:dyDescent="0.6">
      <c r="B217" s="14"/>
      <c r="C217" s="14"/>
      <c r="D217" s="14"/>
      <c r="E217" s="14"/>
      <c r="F217" s="14"/>
      <c r="G217" s="15"/>
      <c r="H217" s="15"/>
      <c r="J217"/>
    </row>
    <row r="218" spans="2:10" x14ac:dyDescent="0.6">
      <c r="J218"/>
    </row>
  </sheetData>
  <mergeCells count="272">
    <mergeCell ref="A42:A43"/>
    <mergeCell ref="B42:C43"/>
    <mergeCell ref="B10:C11"/>
    <mergeCell ref="A17:A18"/>
    <mergeCell ref="H86:H87"/>
    <mergeCell ref="I69:I70"/>
    <mergeCell ref="I72:I73"/>
    <mergeCell ref="B37:C38"/>
    <mergeCell ref="B39:C39"/>
    <mergeCell ref="F37:F38"/>
    <mergeCell ref="A40:A41"/>
    <mergeCell ref="H62:H63"/>
    <mergeCell ref="H8:H11"/>
    <mergeCell ref="I8:I11"/>
    <mergeCell ref="E42:E43"/>
    <mergeCell ref="F42:F43"/>
    <mergeCell ref="G42:G43"/>
    <mergeCell ref="H42:H43"/>
    <mergeCell ref="A46:A47"/>
    <mergeCell ref="H44:H45"/>
    <mergeCell ref="H46:H47"/>
    <mergeCell ref="H48:H49"/>
    <mergeCell ref="I86:I87"/>
    <mergeCell ref="I44:I45"/>
    <mergeCell ref="A1:AV1"/>
    <mergeCell ref="B17:C18"/>
    <mergeCell ref="E17:E18"/>
    <mergeCell ref="G17:G18"/>
    <mergeCell ref="B13:C14"/>
    <mergeCell ref="E13:E14"/>
    <mergeCell ref="G13:G14"/>
    <mergeCell ref="I31:I32"/>
    <mergeCell ref="F6:F7"/>
    <mergeCell ref="I6:I7"/>
    <mergeCell ref="B8:C9"/>
    <mergeCell ref="G8:G9"/>
    <mergeCell ref="F24:F25"/>
    <mergeCell ref="B28:C28"/>
    <mergeCell ref="B21:C22"/>
    <mergeCell ref="E31:E32"/>
    <mergeCell ref="I55:I56"/>
    <mergeCell ref="I57:I58"/>
    <mergeCell ref="I59:I60"/>
    <mergeCell ref="I66:I67"/>
    <mergeCell ref="I40:I41"/>
    <mergeCell ref="I74:I75"/>
    <mergeCell ref="I62:I63"/>
    <mergeCell ref="I64:I65"/>
    <mergeCell ref="I42:I43"/>
    <mergeCell ref="I46:I47"/>
    <mergeCell ref="I48:I49"/>
    <mergeCell ref="I77:I78"/>
    <mergeCell ref="I79:I80"/>
    <mergeCell ref="I81:I82"/>
    <mergeCell ref="I84:I85"/>
    <mergeCell ref="H40:H41"/>
    <mergeCell ref="G26:G27"/>
    <mergeCell ref="E26:E27"/>
    <mergeCell ref="F26:F27"/>
    <mergeCell ref="I29:I30"/>
    <mergeCell ref="H26:H27"/>
    <mergeCell ref="G72:G73"/>
    <mergeCell ref="H55:H56"/>
    <mergeCell ref="G55:G56"/>
    <mergeCell ref="F55:F56"/>
    <mergeCell ref="F53:F54"/>
    <mergeCell ref="H64:H65"/>
    <mergeCell ref="G59:G60"/>
    <mergeCell ref="G66:G67"/>
    <mergeCell ref="G57:G58"/>
    <mergeCell ref="G44:G45"/>
    <mergeCell ref="G69:G70"/>
    <mergeCell ref="E37:E38"/>
    <mergeCell ref="G37:G38"/>
    <mergeCell ref="I33:I34"/>
    <mergeCell ref="I37:I38"/>
    <mergeCell ref="I53:I54"/>
    <mergeCell ref="H24:H25"/>
    <mergeCell ref="I24:I25"/>
    <mergeCell ref="E24:E25"/>
    <mergeCell ref="H37:H38"/>
    <mergeCell ref="B24:C25"/>
    <mergeCell ref="G24:G25"/>
    <mergeCell ref="F29:F30"/>
    <mergeCell ref="F33:F34"/>
    <mergeCell ref="F35:F36"/>
    <mergeCell ref="F40:F41"/>
    <mergeCell ref="H29:H30"/>
    <mergeCell ref="H33:H34"/>
    <mergeCell ref="H35:H36"/>
    <mergeCell ref="G35:G36"/>
    <mergeCell ref="G33:G34"/>
    <mergeCell ref="G48:G49"/>
    <mergeCell ref="F48:F49"/>
    <mergeCell ref="G46:G47"/>
    <mergeCell ref="I26:I27"/>
    <mergeCell ref="I35:I36"/>
    <mergeCell ref="H53:H54"/>
    <mergeCell ref="B53:C54"/>
    <mergeCell ref="B93:E93"/>
    <mergeCell ref="F86:F87"/>
    <mergeCell ref="A57:A58"/>
    <mergeCell ref="A59:A60"/>
    <mergeCell ref="A66:A67"/>
    <mergeCell ref="B68:C68"/>
    <mergeCell ref="B59:C60"/>
    <mergeCell ref="E59:E60"/>
    <mergeCell ref="B66:C67"/>
    <mergeCell ref="B84:C85"/>
    <mergeCell ref="F72:F73"/>
    <mergeCell ref="F74:F75"/>
    <mergeCell ref="B81:C82"/>
    <mergeCell ref="E81:E82"/>
    <mergeCell ref="F59:F60"/>
    <mergeCell ref="F66:F67"/>
    <mergeCell ref="B57:C58"/>
    <mergeCell ref="E57:E58"/>
    <mergeCell ref="F57:F58"/>
    <mergeCell ref="A88:A89"/>
    <mergeCell ref="A74:A75"/>
    <mergeCell ref="B72:C73"/>
    <mergeCell ref="E72:E73"/>
    <mergeCell ref="B90:C90"/>
    <mergeCell ref="F88:F89"/>
    <mergeCell ref="G81:G82"/>
    <mergeCell ref="B77:C78"/>
    <mergeCell ref="E77:E78"/>
    <mergeCell ref="G77:G78"/>
    <mergeCell ref="B79:C80"/>
    <mergeCell ref="E79:E80"/>
    <mergeCell ref="G79:G80"/>
    <mergeCell ref="F81:F82"/>
    <mergeCell ref="B88:C89"/>
    <mergeCell ref="B86:C87"/>
    <mergeCell ref="A77:A78"/>
    <mergeCell ref="A79:A80"/>
    <mergeCell ref="A81:A82"/>
    <mergeCell ref="E86:E87"/>
    <mergeCell ref="G86:G87"/>
    <mergeCell ref="E84:E85"/>
    <mergeCell ref="G84:G85"/>
    <mergeCell ref="F84:F85"/>
    <mergeCell ref="A84:A85"/>
    <mergeCell ref="A86:A87"/>
    <mergeCell ref="B74:C75"/>
    <mergeCell ref="E74:E75"/>
    <mergeCell ref="G74:G75"/>
    <mergeCell ref="A48:A49"/>
    <mergeCell ref="A55:A56"/>
    <mergeCell ref="B55:C56"/>
    <mergeCell ref="E55:E56"/>
    <mergeCell ref="B48:C49"/>
    <mergeCell ref="E48:E49"/>
    <mergeCell ref="E62:E63"/>
    <mergeCell ref="F62:F63"/>
    <mergeCell ref="G62:G63"/>
    <mergeCell ref="A53:A54"/>
    <mergeCell ref="E53:E54"/>
    <mergeCell ref="G53:G54"/>
    <mergeCell ref="H72:H73"/>
    <mergeCell ref="E66:E67"/>
    <mergeCell ref="B61:C61"/>
    <mergeCell ref="B76:C76"/>
    <mergeCell ref="E44:E45"/>
    <mergeCell ref="F69:F70"/>
    <mergeCell ref="A69:A70"/>
    <mergeCell ref="B71:C71"/>
    <mergeCell ref="A72:A73"/>
    <mergeCell ref="B69:C70"/>
    <mergeCell ref="E69:E70"/>
    <mergeCell ref="B50:C50"/>
    <mergeCell ref="F44:F45"/>
    <mergeCell ref="F46:F47"/>
    <mergeCell ref="B44:C45"/>
    <mergeCell ref="A44:A45"/>
    <mergeCell ref="B46:C47"/>
    <mergeCell ref="E46:E47"/>
    <mergeCell ref="A64:A65"/>
    <mergeCell ref="B64:C65"/>
    <mergeCell ref="E64:E65"/>
    <mergeCell ref="F64:F65"/>
    <mergeCell ref="G64:G65"/>
    <mergeCell ref="A62:A63"/>
    <mergeCell ref="F17:F18"/>
    <mergeCell ref="B29:C30"/>
    <mergeCell ref="H17:H18"/>
    <mergeCell ref="F31:F32"/>
    <mergeCell ref="G31:G32"/>
    <mergeCell ref="H31:H32"/>
    <mergeCell ref="F21:F22"/>
    <mergeCell ref="G21:G22"/>
    <mergeCell ref="H21:H22"/>
    <mergeCell ref="E29:E30"/>
    <mergeCell ref="E21:E22"/>
    <mergeCell ref="B19:C20"/>
    <mergeCell ref="E19:E20"/>
    <mergeCell ref="F19:F20"/>
    <mergeCell ref="B26:C27"/>
    <mergeCell ref="G19:G20"/>
    <mergeCell ref="H19:H20"/>
    <mergeCell ref="A10:A11"/>
    <mergeCell ref="I13:I14"/>
    <mergeCell ref="A13:A14"/>
    <mergeCell ref="A6:A7"/>
    <mergeCell ref="J6:J7"/>
    <mergeCell ref="B23:C23"/>
    <mergeCell ref="I17:I18"/>
    <mergeCell ref="F13:F14"/>
    <mergeCell ref="A15:A16"/>
    <mergeCell ref="B15:C16"/>
    <mergeCell ref="E15:E16"/>
    <mergeCell ref="F15:F16"/>
    <mergeCell ref="G15:G16"/>
    <mergeCell ref="H15:H16"/>
    <mergeCell ref="I15:I16"/>
    <mergeCell ref="A8:A9"/>
    <mergeCell ref="H13:H14"/>
    <mergeCell ref="B12:C12"/>
    <mergeCell ref="G10:G11"/>
    <mergeCell ref="I21:I22"/>
    <mergeCell ref="A21:A22"/>
    <mergeCell ref="F8:F11"/>
    <mergeCell ref="E8:E11"/>
    <mergeCell ref="A19:A20"/>
    <mergeCell ref="B94:E94"/>
    <mergeCell ref="O6:R6"/>
    <mergeCell ref="AI6:AL6"/>
    <mergeCell ref="AE6:AH6"/>
    <mergeCell ref="AA6:AD6"/>
    <mergeCell ref="W6:Z6"/>
    <mergeCell ref="S6:V6"/>
    <mergeCell ref="K6:N6"/>
    <mergeCell ref="G6:G7"/>
    <mergeCell ref="E6:E7"/>
    <mergeCell ref="H6:H7"/>
    <mergeCell ref="B6:C7"/>
    <mergeCell ref="H57:H58"/>
    <mergeCell ref="H59:H60"/>
    <mergeCell ref="H66:H67"/>
    <mergeCell ref="H69:H70"/>
    <mergeCell ref="F77:F78"/>
    <mergeCell ref="F79:F80"/>
    <mergeCell ref="H74:H75"/>
    <mergeCell ref="B92:E92"/>
    <mergeCell ref="B83:C83"/>
    <mergeCell ref="H81:H82"/>
    <mergeCell ref="E88:E89"/>
    <mergeCell ref="B62:C63"/>
    <mergeCell ref="I19:I20"/>
    <mergeCell ref="A51:A52"/>
    <mergeCell ref="B51:C52"/>
    <mergeCell ref="E51:E52"/>
    <mergeCell ref="F51:F52"/>
    <mergeCell ref="G51:G52"/>
    <mergeCell ref="H51:H52"/>
    <mergeCell ref="I51:I52"/>
    <mergeCell ref="A31:A32"/>
    <mergeCell ref="B31:C32"/>
    <mergeCell ref="A37:A38"/>
    <mergeCell ref="A29:A30"/>
    <mergeCell ref="B35:C36"/>
    <mergeCell ref="E35:E36"/>
    <mergeCell ref="G29:G30"/>
    <mergeCell ref="B33:C34"/>
    <mergeCell ref="A26:A27"/>
    <mergeCell ref="A33:A34"/>
    <mergeCell ref="A35:A36"/>
    <mergeCell ref="E33:E34"/>
    <mergeCell ref="A24:A25"/>
    <mergeCell ref="B40:C41"/>
    <mergeCell ref="G40:G41"/>
    <mergeCell ref="E40:E4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rowBreaks count="2" manualBreakCount="2">
    <brk id="76" max="36" man="1"/>
    <brk id="85" max="16383" man="1"/>
  </rowBreaks>
  <colBreaks count="1" manualBreakCount="1">
    <brk id="3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Tahapan Konsultasi </vt:lpstr>
      <vt:lpstr>'Tahapan Konsultasi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SSC Consulting</dc:creator>
  <cp:lastModifiedBy>Nagita_Susanti_Erna</cp:lastModifiedBy>
  <cp:lastPrinted>2025-08-26T04:52:35Z</cp:lastPrinted>
  <dcterms:created xsi:type="dcterms:W3CDTF">2024-03-25T01:46:49Z</dcterms:created>
  <dcterms:modified xsi:type="dcterms:W3CDTF">2025-11-05T05:25:44Z</dcterms:modified>
</cp:coreProperties>
</file>